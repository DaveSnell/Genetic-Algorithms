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45" windowWidth="15480" windowHeight="10545" activeTab="2"/>
  </bookViews>
  <sheets>
    <sheet name="DNA" sheetId="194" r:id="rId1"/>
    <sheet name="Region_Staffing" sheetId="1" r:id="rId2"/>
    <sheet name="Instructions" sheetId="60" r:id="rId3"/>
    <sheet name="Default_Parameters" sheetId="61" r:id="rId4"/>
    <sheet name="SalesTrip" sheetId="77" r:id="rId5"/>
    <sheet name="EquationSolver" sheetId="107" r:id="rId6"/>
  </sheets>
  <functionGroups builtInGroupCount="17"/>
  <definedNames>
    <definedName name="acceptableValues">#REF!</definedName>
    <definedName name="acceptableValueTypes">#REF!</definedName>
    <definedName name="Adequacy">#REF!</definedName>
    <definedName name="conditionsSet">Default_Parameters!$E$20</definedName>
    <definedName name="DNA_strand">#REF!</definedName>
    <definedName name="elites">Default_Parameters!$E$13</definedName>
    <definedName name="EquationSolverConditionsSet">EquationSolver!$C$5:$C$12</definedName>
    <definedName name="EquationSolverInputSet">EquationSolver!$B$5:$B$12</definedName>
    <definedName name="EquationSolverScore">EquationSolver!$G$19</definedName>
    <definedName name="generations">Default_Parameters!$E$15</definedName>
    <definedName name="generationsRequested">#REF!</definedName>
    <definedName name="highVal">Default_Parameters!$E$10</definedName>
    <definedName name="inputSet">Default_Parameters!$E$11</definedName>
    <definedName name="integers">Default_Parameters!$E$17</definedName>
    <definedName name="lowVal">Default_Parameters!$E$9</definedName>
    <definedName name="maximize">Default_Parameters!$E$19</definedName>
    <definedName name="maxScoreWanted">#REF!</definedName>
    <definedName name="mutations">Default_Parameters!$E$16</definedName>
    <definedName name="NewRelativityScore">#REF!</definedName>
    <definedName name="parentPool">#REF!</definedName>
    <definedName name="parents">Default_Parameters!$E$14</definedName>
    <definedName name="ProviderCount">#REF!</definedName>
    <definedName name="random">Default_Parameters!$E$18</definedName>
    <definedName name="RelativityScore">#REF!</definedName>
    <definedName name="SalesTripInputSet">SalesTrip!$C$17:$C$25</definedName>
    <definedName name="SalesTripScore">SalesTrip!$F$28</definedName>
    <definedName name="scoreCell">Default_Parameters!$E$12</definedName>
    <definedName name="scoreRange">#REF!</definedName>
    <definedName name="setLength">#REF!</definedName>
    <definedName name="sets">Default_Parameters!$E$8</definedName>
    <definedName name="setsPerGeneration">#REF!</definedName>
    <definedName name="solver_adj" localSheetId="5" hidden="1">EquationSolver!$B$5:$B$12</definedName>
    <definedName name="solver_adj" localSheetId="1" hidden="1">Region_Staffing!$C$28:$C$39</definedName>
    <definedName name="solver_adj" localSheetId="4" hidden="1">SalesTrip!$C$17:$C$25</definedName>
    <definedName name="solver_cvg" localSheetId="5" hidden="1">0.0001</definedName>
    <definedName name="solver_cvg" localSheetId="1" hidden="1">0.0001</definedName>
    <definedName name="solver_cvg" localSheetId="4" hidden="1">0.0001</definedName>
    <definedName name="solver_drv" localSheetId="5" hidden="1">1</definedName>
    <definedName name="solver_drv" localSheetId="1" hidden="1">1</definedName>
    <definedName name="solver_drv" localSheetId="4" hidden="1">1</definedName>
    <definedName name="solver_eng" localSheetId="5" hidden="1">3</definedName>
    <definedName name="solver_eng" localSheetId="1" hidden="1">3</definedName>
    <definedName name="solver_eng" localSheetId="4" hidden="1">3</definedName>
    <definedName name="solver_est" localSheetId="5" hidden="1">1</definedName>
    <definedName name="solver_est" localSheetId="1" hidden="1">1</definedName>
    <definedName name="solver_est" localSheetId="4" hidden="1">1</definedName>
    <definedName name="solver_itr" localSheetId="5" hidden="1">2147483647</definedName>
    <definedName name="solver_itr" localSheetId="1" hidden="1">2147483647</definedName>
    <definedName name="solver_itr" localSheetId="4" hidden="1">2147483647</definedName>
    <definedName name="solver_lhs1" localSheetId="5" hidden="1">EquationSolver!$B$5</definedName>
    <definedName name="solver_lhs1" localSheetId="1" hidden="1">Region_Staffing!$C$28:$C$39</definedName>
    <definedName name="solver_lhs1" localSheetId="4" hidden="1">SalesTrip!$C$17:$C$25</definedName>
    <definedName name="solver_lhs10" localSheetId="5" hidden="1">EquationSolver!$B$10</definedName>
    <definedName name="solver_lhs11" localSheetId="5" hidden="1">EquationSolver!$B$10</definedName>
    <definedName name="solver_lhs12" localSheetId="5" hidden="1">EquationSolver!$B$7</definedName>
    <definedName name="solver_lhs13" localSheetId="5" hidden="1">EquationSolver!$B$7</definedName>
    <definedName name="solver_lhs14" localSheetId="5" hidden="1">EquationSolver!$B$5</definedName>
    <definedName name="solver_lhs15" localSheetId="5" hidden="1">EquationSolver!$B$10</definedName>
    <definedName name="solver_lhs16" localSheetId="5" hidden="1">EquationSolver!$B$11</definedName>
    <definedName name="solver_lhs17" localSheetId="5" hidden="1">EquationSolver!$B$11</definedName>
    <definedName name="solver_lhs18" localSheetId="5" hidden="1">EquationSolver!$B$12</definedName>
    <definedName name="solver_lhs19" localSheetId="5" hidden="1">EquationSolver!$B$10</definedName>
    <definedName name="solver_lhs2" localSheetId="5" hidden="1">EquationSolver!$B$5</definedName>
    <definedName name="solver_lhs2" localSheetId="1" hidden="1">Region_Staffing!$C$28:$C$39</definedName>
    <definedName name="solver_lhs2" localSheetId="4" hidden="1">SalesTrip!$C$17:$C$25</definedName>
    <definedName name="solver_lhs20" localSheetId="5" hidden="1">EquationSolver!$B$12</definedName>
    <definedName name="solver_lhs3" localSheetId="5" hidden="1">EquationSolver!$B$6</definedName>
    <definedName name="solver_lhs3" localSheetId="1" hidden="1">Region_Staffing!$C$28:$C$39</definedName>
    <definedName name="solver_lhs3" localSheetId="4" hidden="1">SalesTrip!$C$17:$C$25</definedName>
    <definedName name="solver_lhs4" localSheetId="5" hidden="1">EquationSolver!$B$8</definedName>
    <definedName name="solver_lhs5" localSheetId="5" hidden="1">EquationSolver!$B$9</definedName>
    <definedName name="solver_lhs6" localSheetId="5" hidden="1">EquationSolver!$B$9</definedName>
    <definedName name="solver_lhs7" localSheetId="5" hidden="1">EquationSolver!$B$8</definedName>
    <definedName name="solver_lhs8" localSheetId="5" hidden="1">EquationSolver!$B$6</definedName>
    <definedName name="solver_lhs9" localSheetId="5" hidden="1">EquationSolver!$B$5</definedName>
    <definedName name="solver_mip" localSheetId="5" hidden="1">2147483647</definedName>
    <definedName name="solver_mip" localSheetId="1" hidden="1">2147483647</definedName>
    <definedName name="solver_mip" localSheetId="4" hidden="1">2147483647</definedName>
    <definedName name="solver_mni" localSheetId="5" hidden="1">30</definedName>
    <definedName name="solver_mni" localSheetId="1" hidden="1">30</definedName>
    <definedName name="solver_mni" localSheetId="4" hidden="1">30</definedName>
    <definedName name="solver_mrt" localSheetId="5" hidden="1">0.075</definedName>
    <definedName name="solver_mrt" localSheetId="1" hidden="1">0.075</definedName>
    <definedName name="solver_mrt" localSheetId="4" hidden="1">0.075</definedName>
    <definedName name="solver_msl" localSheetId="5" hidden="1">2</definedName>
    <definedName name="solver_msl" localSheetId="1" hidden="1">2</definedName>
    <definedName name="solver_msl" localSheetId="4" hidden="1">2</definedName>
    <definedName name="solver_neg" localSheetId="5" hidden="1">1</definedName>
    <definedName name="solver_neg" localSheetId="1" hidden="1">1</definedName>
    <definedName name="solver_neg" localSheetId="4" hidden="1">1</definedName>
    <definedName name="solver_nod" localSheetId="5" hidden="1">2147483647</definedName>
    <definedName name="solver_nod" localSheetId="1" hidden="1">2147483647</definedName>
    <definedName name="solver_nod" localSheetId="4" hidden="1">2147483647</definedName>
    <definedName name="solver_num" localSheetId="5" hidden="1">20</definedName>
    <definedName name="solver_num" localSheetId="1" hidden="1">3</definedName>
    <definedName name="solver_num" localSheetId="4" hidden="1">3</definedName>
    <definedName name="solver_nwt" localSheetId="5" hidden="1">1</definedName>
    <definedName name="solver_nwt" localSheetId="1" hidden="1">1</definedName>
    <definedName name="solver_nwt" localSheetId="4" hidden="1">1</definedName>
    <definedName name="solver_opt" localSheetId="5" hidden="1">EquationSolver!$G$19</definedName>
    <definedName name="solver_opt" localSheetId="1" hidden="1">Region_Staffing!$H$38</definedName>
    <definedName name="solver_opt" localSheetId="4" hidden="1">SalesTrip!$F$28</definedName>
    <definedName name="solver_pre" localSheetId="5" hidden="1">0.000001</definedName>
    <definedName name="solver_pre" localSheetId="1" hidden="1">0.000001</definedName>
    <definedName name="solver_pre" localSheetId="4" hidden="1">0.000001</definedName>
    <definedName name="solver_rbv" localSheetId="5" hidden="1">1</definedName>
    <definedName name="solver_rbv" localSheetId="1" hidden="1">1</definedName>
    <definedName name="solver_rbv" localSheetId="4" hidden="1">1</definedName>
    <definedName name="solver_rel1" localSheetId="5" hidden="1">3</definedName>
    <definedName name="solver_rel1" localSheetId="1" hidden="1">1</definedName>
    <definedName name="solver_rel1" localSheetId="4" hidden="1">1</definedName>
    <definedName name="solver_rel10" localSheetId="5" hidden="1">4</definedName>
    <definedName name="solver_rel11" localSheetId="5" hidden="1">1</definedName>
    <definedName name="solver_rel12" localSheetId="5" hidden="1">3</definedName>
    <definedName name="solver_rel13" localSheetId="5" hidden="1">1</definedName>
    <definedName name="solver_rel14" localSheetId="5" hidden="1">1</definedName>
    <definedName name="solver_rel15" localSheetId="5" hidden="1">3</definedName>
    <definedName name="solver_rel16" localSheetId="5" hidden="1">1</definedName>
    <definedName name="solver_rel17" localSheetId="5" hidden="1">3</definedName>
    <definedName name="solver_rel18" localSheetId="5" hidden="1">1</definedName>
    <definedName name="solver_rel19" localSheetId="5" hidden="1">2</definedName>
    <definedName name="solver_rel2" localSheetId="5" hidden="1">3</definedName>
    <definedName name="solver_rel2" localSheetId="1" hidden="1">4</definedName>
    <definedName name="solver_rel2" localSheetId="4" hidden="1">4</definedName>
    <definedName name="solver_rel20" localSheetId="5" hidden="1">3</definedName>
    <definedName name="solver_rel3" localSheetId="5" hidden="1">1</definedName>
    <definedName name="solver_rel3" localSheetId="1" hidden="1">3</definedName>
    <definedName name="solver_rel3" localSheetId="4" hidden="1">3</definedName>
    <definedName name="solver_rel4" localSheetId="5" hidden="1">3</definedName>
    <definedName name="solver_rel5" localSheetId="5" hidden="1">3</definedName>
    <definedName name="solver_rel6" localSheetId="5" hidden="1">1</definedName>
    <definedName name="solver_rel7" localSheetId="5" hidden="1">1</definedName>
    <definedName name="solver_rel8" localSheetId="5" hidden="1">3</definedName>
    <definedName name="solver_rel9" localSheetId="5" hidden="1">4</definedName>
    <definedName name="solver_rhs1" localSheetId="5" hidden="1">1</definedName>
    <definedName name="solver_rhs1" localSheetId="1" hidden="1">6</definedName>
    <definedName name="solver_rhs1" localSheetId="4" hidden="1">8</definedName>
    <definedName name="solver_rhs10" localSheetId="5" hidden="1">integer</definedName>
    <definedName name="solver_rhs11" localSheetId="5" hidden="1">40</definedName>
    <definedName name="solver_rhs12" localSheetId="5" hidden="1">1</definedName>
    <definedName name="solver_rhs13" localSheetId="5" hidden="1">3</definedName>
    <definedName name="solver_rhs14" localSheetId="5" hidden="1">10</definedName>
    <definedName name="solver_rhs15" localSheetId="5" hidden="1">-20</definedName>
    <definedName name="solver_rhs16" localSheetId="5" hidden="1">18</definedName>
    <definedName name="solver_rhs17" localSheetId="5" hidden="1">0</definedName>
    <definedName name="solver_rhs18" localSheetId="5" hidden="1">12</definedName>
    <definedName name="solver_rhs19" localSheetId="5" hidden="1">4</definedName>
    <definedName name="solver_rhs2" localSheetId="5" hidden="1">1</definedName>
    <definedName name="solver_rhs2" localSheetId="1" hidden="1">integer</definedName>
    <definedName name="solver_rhs2" localSheetId="4" hidden="1">integer</definedName>
    <definedName name="solver_rhs20" localSheetId="5" hidden="1">3</definedName>
    <definedName name="solver_rhs3" localSheetId="5" hidden="1">15</definedName>
    <definedName name="solver_rhs3" localSheetId="1" hidden="1">0</definedName>
    <definedName name="solver_rhs3" localSheetId="4" hidden="1">1</definedName>
    <definedName name="solver_rhs4" localSheetId="5" hidden="1">0.5</definedName>
    <definedName name="solver_rhs5" localSheetId="5" hidden="1">-10</definedName>
    <definedName name="solver_rhs6" localSheetId="5" hidden="1">50</definedName>
    <definedName name="solver_rhs7" localSheetId="5" hidden="1">7</definedName>
    <definedName name="solver_rhs8" localSheetId="5" hidden="1">0</definedName>
    <definedName name="solver_rhs9" localSheetId="5" hidden="1">integer</definedName>
    <definedName name="solver_rlx" localSheetId="5" hidden="1">2</definedName>
    <definedName name="solver_rlx" localSheetId="1" hidden="1">2</definedName>
    <definedName name="solver_rlx" localSheetId="4" hidden="1">2</definedName>
    <definedName name="solver_rsd" localSheetId="5" hidden="1">0</definedName>
    <definedName name="solver_rsd" localSheetId="1" hidden="1">0</definedName>
    <definedName name="solver_rsd" localSheetId="4" hidden="1">0</definedName>
    <definedName name="solver_scl" localSheetId="5" hidden="1">1</definedName>
    <definedName name="solver_scl" localSheetId="1" hidden="1">1</definedName>
    <definedName name="solver_scl" localSheetId="4" hidden="1">1</definedName>
    <definedName name="solver_sho" localSheetId="5" hidden="1">2</definedName>
    <definedName name="solver_sho" localSheetId="1" hidden="1">2</definedName>
    <definedName name="solver_sho" localSheetId="4" hidden="1">2</definedName>
    <definedName name="solver_ssz" localSheetId="5" hidden="1">100</definedName>
    <definedName name="solver_ssz" localSheetId="1" hidden="1">100</definedName>
    <definedName name="solver_ssz" localSheetId="4" hidden="1">100</definedName>
    <definedName name="solver_tim" localSheetId="5" hidden="1">2147483647</definedName>
    <definedName name="solver_tim" localSheetId="1" hidden="1">2147483647</definedName>
    <definedName name="solver_tim" localSheetId="4" hidden="1">2147483647</definedName>
    <definedName name="solver_tol" localSheetId="5" hidden="1">0.01</definedName>
    <definedName name="solver_tol" localSheetId="1" hidden="1">0.01</definedName>
    <definedName name="solver_tol" localSheetId="4" hidden="1">0.01</definedName>
    <definedName name="solver_typ" localSheetId="5" hidden="1">2</definedName>
    <definedName name="solver_typ" localSheetId="1" hidden="1">2</definedName>
    <definedName name="solver_typ" localSheetId="4" hidden="1">1</definedName>
    <definedName name="solver_val" localSheetId="5" hidden="1">0</definedName>
    <definedName name="solver_val" localSheetId="1" hidden="1">0</definedName>
    <definedName name="solver_val" localSheetId="4" hidden="1">0</definedName>
    <definedName name="solver_ver" localSheetId="5" hidden="1">3</definedName>
    <definedName name="solver_ver" localSheetId="1" hidden="1">3</definedName>
    <definedName name="solver_ver" localSheetId="4" hidden="1">3</definedName>
    <definedName name="StaffingInputSet">Region_Staffing!$C$28:$C$39</definedName>
    <definedName name="StaffingScore">Region_Staffing!$H$38</definedName>
    <definedName name="startFromScratch">#REF!</definedName>
    <definedName name="testSetRange">#REF!</definedName>
    <definedName name="varA">EquationSolver!$B$5</definedName>
    <definedName name="varB">EquationSolver!$B$6</definedName>
    <definedName name="varC">EquationSolver!$B$7</definedName>
    <definedName name="varD">EquationSolver!$B$8</definedName>
    <definedName name="varE">EquationSolver!$B$9</definedName>
    <definedName name="varF">EquationSolver!$B$10</definedName>
    <definedName name="varG">EquationSolver!$B$11</definedName>
    <definedName name="varH">EquationSolver!$B$12</definedName>
  </definedNames>
  <calcPr calcId="145621" calcMode="manual"/>
</workbook>
</file>

<file path=xl/calcChain.xml><?xml version="1.0" encoding="utf-8"?>
<calcChain xmlns="http://schemas.openxmlformats.org/spreadsheetml/2006/main">
  <c r="G16" i="107" l="1"/>
  <c r="C5" i="107"/>
  <c r="C6" i="107"/>
  <c r="C7" i="107"/>
  <c r="C8" i="107"/>
  <c r="C9" i="107"/>
  <c r="C10" i="107"/>
  <c r="C11" i="107"/>
  <c r="C12" i="107"/>
  <c r="O18" i="77" l="1"/>
  <c r="G18" i="107" l="1"/>
  <c r="G17" i="107"/>
  <c r="G9" i="107"/>
  <c r="G11" i="107"/>
  <c r="G10" i="107"/>
  <c r="G6" i="107"/>
  <c r="H16" i="107"/>
  <c r="H17" i="107"/>
  <c r="G12" i="107"/>
  <c r="G8" i="107"/>
  <c r="H18" i="107"/>
  <c r="G7" i="107"/>
  <c r="G5" i="107"/>
  <c r="G19" i="107" l="1"/>
  <c r="K25" i="77"/>
  <c r="K24" i="77"/>
  <c r="K23" i="77"/>
  <c r="K22" i="77"/>
  <c r="K21" i="77"/>
  <c r="K20" i="77"/>
  <c r="K19" i="77"/>
  <c r="K17" i="77"/>
  <c r="K18" i="77"/>
  <c r="I25" i="77"/>
  <c r="I24" i="77"/>
  <c r="I23" i="77"/>
  <c r="I22" i="77"/>
  <c r="I21" i="77"/>
  <c r="I20" i="77"/>
  <c r="I19" i="77"/>
  <c r="I18" i="77"/>
  <c r="I17" i="77"/>
  <c r="I16" i="77"/>
  <c r="G25" i="77"/>
  <c r="G24" i="77"/>
  <c r="G23" i="77"/>
  <c r="G22" i="77"/>
  <c r="G21" i="77"/>
  <c r="G20" i="77"/>
  <c r="G19" i="77"/>
  <c r="G18" i="77"/>
  <c r="G17" i="77"/>
  <c r="D25" i="77"/>
  <c r="D24" i="77"/>
  <c r="D23" i="77"/>
  <c r="D22" i="77"/>
  <c r="D21" i="77"/>
  <c r="D20" i="77"/>
  <c r="D19" i="77"/>
  <c r="D18" i="77"/>
  <c r="D17" i="77"/>
  <c r="H25" i="77"/>
  <c r="H24" i="77"/>
  <c r="H23" i="77"/>
  <c r="H22" i="77"/>
  <c r="H21" i="77"/>
  <c r="H20" i="77"/>
  <c r="H19" i="77"/>
  <c r="H18" i="77"/>
  <c r="H17" i="77"/>
  <c r="E18" i="77"/>
  <c r="E17" i="77"/>
  <c r="E25" i="77"/>
  <c r="E24" i="77"/>
  <c r="E23" i="77"/>
  <c r="E21" i="77"/>
  <c r="E19" i="77"/>
  <c r="E22" i="77"/>
  <c r="E20" i="77"/>
  <c r="F20" i="77" l="1"/>
  <c r="F24" i="77"/>
  <c r="F17" i="77"/>
  <c r="F21" i="77"/>
  <c r="F25" i="77"/>
  <c r="F18" i="77"/>
  <c r="F22" i="77"/>
  <c r="F19" i="77"/>
  <c r="F23" i="77"/>
  <c r="D26" i="77"/>
  <c r="E26" i="77"/>
  <c r="F27" i="77" s="1"/>
  <c r="H35" i="1"/>
  <c r="H34" i="1"/>
  <c r="H33" i="1"/>
  <c r="H32" i="1"/>
  <c r="H31" i="1"/>
  <c r="H30" i="1"/>
  <c r="H29" i="1"/>
  <c r="F26" i="77" l="1"/>
  <c r="G29" i="1"/>
  <c r="I29" i="1" s="1"/>
  <c r="B29" i="1"/>
  <c r="F28" i="77" l="1"/>
  <c r="B30" i="1"/>
  <c r="F30" i="1"/>
  <c r="B15" i="1"/>
  <c r="B16" i="1" s="1"/>
  <c r="B17" i="1" s="1"/>
  <c r="B18" i="1" s="1"/>
  <c r="B19" i="1" s="1"/>
  <c r="B20" i="1" s="1"/>
  <c r="B21" i="1" s="1"/>
  <c r="B22" i="1" s="1"/>
  <c r="B23" i="1" s="1"/>
  <c r="B24" i="1" s="1"/>
  <c r="B25" i="1" s="1"/>
  <c r="B5" i="1"/>
  <c r="B6" i="1" s="1"/>
  <c r="B7" i="1" s="1"/>
  <c r="B8" i="1" s="1"/>
  <c r="B9" i="1" s="1"/>
  <c r="B10" i="1" s="1"/>
  <c r="D13" i="1"/>
  <c r="B31" i="1" l="1"/>
  <c r="F31" i="1"/>
  <c r="G31" i="1" s="1"/>
  <c r="I31" i="1" s="1"/>
  <c r="G30" i="1"/>
  <c r="I30" i="1" s="1"/>
  <c r="E13" i="1"/>
  <c r="F13" i="1" s="1"/>
  <c r="G13" i="1" s="1"/>
  <c r="H13" i="1" s="1"/>
  <c r="I13" i="1" s="1"/>
  <c r="D28" i="1" l="1"/>
  <c r="D33" i="1"/>
  <c r="D39" i="1"/>
  <c r="D35" i="1"/>
  <c r="D36" i="1"/>
  <c r="D32" i="1"/>
  <c r="D29" i="1"/>
  <c r="D31" i="1"/>
  <c r="D37" i="1"/>
  <c r="D34" i="1"/>
  <c r="D30" i="1"/>
  <c r="D38" i="1"/>
  <c r="B32" i="1"/>
  <c r="F32" i="1"/>
  <c r="G32" i="1" s="1"/>
  <c r="I32" i="1" s="1"/>
  <c r="B33" i="1" l="1"/>
  <c r="F33" i="1"/>
  <c r="G33" i="1" s="1"/>
  <c r="I33" i="1" s="1"/>
  <c r="F34" i="1" l="1"/>
  <c r="G34" i="1" s="1"/>
  <c r="I34" i="1" s="1"/>
  <c r="B34" i="1"/>
  <c r="F35" i="1" l="1"/>
  <c r="G35" i="1" s="1"/>
  <c r="I35" i="1" s="1"/>
  <c r="H38" i="1" s="1"/>
  <c r="B35" i="1"/>
  <c r="B36" i="1" l="1"/>
  <c r="B37" i="1" l="1"/>
  <c r="B38" i="1" l="1"/>
  <c r="B39" i="1" l="1"/>
</calcChain>
</file>

<file path=xl/comments1.xml><?xml version="1.0" encoding="utf-8"?>
<comments xmlns="http://schemas.openxmlformats.org/spreadsheetml/2006/main">
  <authors>
    <author>Snell, Dave</author>
  </authors>
  <commentList>
    <comment ref="H29" authorId="0">
      <text>
        <r>
          <rPr>
            <b/>
            <sz val="9"/>
            <color indexed="81"/>
            <rFont val="Tahoma"/>
            <family val="2"/>
          </rPr>
          <t>Snell, Dave:</t>
        </r>
        <r>
          <rPr>
            <sz val="9"/>
            <color indexed="81"/>
            <rFont val="Tahoma"/>
            <family val="2"/>
          </rPr>
          <t xml:space="preserve">
changed to agree with original goals
</t>
        </r>
      </text>
    </comment>
  </commentList>
</comments>
</file>

<file path=xl/sharedStrings.xml><?xml version="1.0" encoding="utf-8"?>
<sst xmlns="http://schemas.openxmlformats.org/spreadsheetml/2006/main" count="221" uniqueCount="192">
  <si>
    <t>Draft Staffing Genetic Algorithm</t>
  </si>
  <si>
    <t>Area Preference</t>
  </si>
  <si>
    <t>Area</t>
  </si>
  <si>
    <t>Value</t>
  </si>
  <si>
    <t>Name</t>
  </si>
  <si>
    <t>Area Index</t>
  </si>
  <si>
    <t>Portland</t>
  </si>
  <si>
    <t>Salem</t>
  </si>
  <si>
    <t>Eugene</t>
  </si>
  <si>
    <t>Corvallis</t>
  </si>
  <si>
    <t>Medford</t>
  </si>
  <si>
    <t>Bend</t>
  </si>
  <si>
    <t>NonMetro</t>
  </si>
  <si>
    <t>Employee</t>
  </si>
  <si>
    <t>Assigned EEs</t>
  </si>
  <si>
    <t>Total Preference</t>
  </si>
  <si>
    <t>Preference</t>
  </si>
  <si>
    <t>Target EEs</t>
  </si>
  <si>
    <t>Shortfall</t>
  </si>
  <si>
    <t>Welcome to our Genetic Algorithm shell for Excel</t>
  </si>
  <si>
    <t>their own Excel workbooks.</t>
  </si>
  <si>
    <t>Our objective is to help actuaries use genetic algorithms from within</t>
  </si>
  <si>
    <t>the following:</t>
  </si>
  <si>
    <t>designate some cell in your workbook as the SCORING cell.</t>
  </si>
  <si>
    <t xml:space="preserve">The scoring cell is the place where you will look to see how well a </t>
  </si>
  <si>
    <t>particular solution did. If you are searching for a minimum, then</t>
  </si>
  <si>
    <t>a lower score here is better. If you are searching for a maximum,</t>
  </si>
  <si>
    <t>then a higher score here is better. A genetic algorithm tests many</t>
  </si>
  <si>
    <t>potential solutions and it has to have a way of comparing them.</t>
  </si>
  <si>
    <t>The scoring cell serves that purpose.</t>
  </si>
  <si>
    <t>designate some range of cells (preferably a column of cells) for your</t>
  </si>
  <si>
    <t>potential solution sets into this range, and check the scoring cell after each copy.</t>
  </si>
  <si>
    <t>Your solution set should be a set of inputs that allow your spreadsheet to calculate</t>
  </si>
  <si>
    <t xml:space="preserve">SOLUTION SET RANGE. </t>
  </si>
  <si>
    <t>The genetic algorithm here will copy several (one at a time)</t>
  </si>
  <si>
    <t xml:space="preserve">a score. </t>
  </si>
  <si>
    <t>in a way that maximizes the needed coverage, yet accomodates employee preferences as much as practicable.</t>
  </si>
  <si>
    <t xml:space="preserve">Assume you have to allocate staff to cover several regions of your state (or country). You want to do this </t>
  </si>
  <si>
    <t>Simply run the macro RunGeneticAlgorithm (via Alt-F8 or by clicking the button on the Region Staffing sheet)</t>
  </si>
  <si>
    <t>and fill in your parameter values. The macro gives you instructions for each input item.</t>
  </si>
  <si>
    <t>This particular problem runs very quickly; and you may have been able to do it yourself manually.</t>
  </si>
  <si>
    <t>However, it is just to show you the concept. We use this same idea to solve a Health Provider network</t>
  </si>
  <si>
    <t>with thousands of potential provider groups (See my article in the December, 2012 F&amp;F newsletter).</t>
  </si>
  <si>
    <t>An easy way to transfer this code to your own workbook is as follows:</t>
  </si>
  <si>
    <t>Enter the VBA editor via Alt-F11</t>
  </si>
  <si>
    <t>right-click on the module dlsCode and export it to a file on your PC.</t>
  </si>
  <si>
    <t>Open your workbook (the one where you wish to use a genetic algorithm.</t>
  </si>
  <si>
    <t>Enter the VBA editer</t>
  </si>
  <si>
    <t>File, Import File and choose the ParametersForm</t>
  </si>
  <si>
    <t>Make sure your workbook has a cell for the scoring (like the cell D53 of this example).</t>
  </si>
  <si>
    <t>Make sure you have a range (column) for the trial solution sets.</t>
  </si>
  <si>
    <t>If you wish, add a shape button and assign it to the macro RunGeneticAlgorithm.</t>
  </si>
  <si>
    <t>That's all you need to do to start learning how to use this great technique!</t>
  </si>
  <si>
    <t>I wrote this code to be easy to follow (I hope it is!).</t>
  </si>
  <si>
    <t>Here is what is happening:</t>
  </si>
  <si>
    <t>It does some simple housekeeping to preserve your Excel settings (first do no harm!)</t>
  </si>
  <si>
    <t>Then, it asks for your parameters via the form ParametersForm</t>
  </si>
  <si>
    <t>Once you click Start on that form,</t>
  </si>
  <si>
    <t>it checks to see if you wish to start from a randomly-generated group of solution sets</t>
  </si>
  <si>
    <t>if yes, then if populates that initial generation for you.</t>
  </si>
  <si>
    <t>if no, then it uses the generation from the last time you ran the program</t>
  </si>
  <si>
    <t>then it loops through a cycle of the following subroutines:</t>
  </si>
  <si>
    <t>RankTheScores - this sorts the results and decides which are the better sets</t>
  </si>
  <si>
    <t>AddTheChildren - this copies the number of Elites you specified, and builds the rest of the new generation</t>
  </si>
  <si>
    <t>AddMutations - this randomly mutates some of the genes of the children (not the elites)</t>
  </si>
  <si>
    <t>TestForCompletion - this checks to see if it is time to stop the cycle</t>
  </si>
  <si>
    <t>Enjoy!</t>
  </si>
  <si>
    <t>You can do this! You can even make it better. That's our goal.</t>
  </si>
  <si>
    <t>Dave Snell and Brian Grossmiller</t>
  </si>
  <si>
    <t>TestSets - this copy one set at a time and checks its score (it creates a DNA sheet for you to see what is happening)</t>
  </si>
  <si>
    <t>The main program behind this code is the sub 'RunGeneticAlgorithm'; and it is just one screen of code in the VBA editor.</t>
  </si>
  <si>
    <t>IF YOU CARE ABOUT WHAT IS HAPPENING BEHIND THE SCENES (or wish to modify it).</t>
  </si>
  <si>
    <t>We don't have to understand how to rebuild an engine in order to drive a car; or to understand how a refridgerator works to enjoy a beer from it.</t>
  </si>
  <si>
    <t>All you have to do to use this tool is to customize it for your workbook.</t>
  </si>
  <si>
    <t>1. Arrange your input area as a column, and enter that column in the Parameters form as the Input set range.</t>
  </si>
  <si>
    <t xml:space="preserve">2. Designate some cell as the final score cell. This is the one you are trying to minimize or maximize. Enter this in the Parameters form. </t>
  </si>
  <si>
    <t>3. Choose values for the remaining input items on the Parameters form. If you move your mouse over any input area,</t>
  </si>
  <si>
    <t xml:space="preserve">    the program will give you some helpful (I hope) information about what to enter in that area.</t>
  </si>
  <si>
    <t>4. Click the Start button.</t>
  </si>
  <si>
    <t>On a subsequent run for the same problem, you can choose 'from previous run' to start from the best set of the last run.</t>
  </si>
  <si>
    <t>On your first run, choose 'random numbers' for the First Generation.</t>
  </si>
  <si>
    <t>If you run one of our examples, it will automatically choose the 'Input set range' and the 'Final score cell address' for the particular example.</t>
  </si>
  <si>
    <t>In that case, it will overwrite those two input items on this sheet.</t>
  </si>
  <si>
    <t>Sets per generation:</t>
  </si>
  <si>
    <t>Lowest allowable value:</t>
  </si>
  <si>
    <t>Highest allowable value:</t>
  </si>
  <si>
    <t>Input set range:</t>
  </si>
  <si>
    <t>Final score scell address:</t>
  </si>
  <si>
    <t>Elites (immortal sets) per generation:</t>
  </si>
  <si>
    <t>Potential parents per child:</t>
  </si>
  <si>
    <t>Generations requested:</t>
  </si>
  <si>
    <t>Max. mutations per set:</t>
  </si>
  <si>
    <t>integers only:</t>
  </si>
  <si>
    <t>random numbers:</t>
  </si>
  <si>
    <t>maximize result:</t>
  </si>
  <si>
    <t>(Y if maximum value wanted, N if minimum value wanted)</t>
  </si>
  <si>
    <t>(Y if random numbers wanted, N if values from revious run wanted)</t>
  </si>
  <si>
    <t>(Y if integers only wanted, N if reals wanted)</t>
  </si>
  <si>
    <t>(some integer from 0 to the number of input variables in a set)</t>
  </si>
  <si>
    <t>(a positive integer … more generations usually get better results but they take longer)</t>
  </si>
  <si>
    <t>(a postive integer from 2 to the number of input variables in a set)</t>
  </si>
  <si>
    <t>(a positive integer from 1 to 50% of the number of input variables in a set)</t>
  </si>
  <si>
    <t>(a valid sheetName!cellAddress range)</t>
  </si>
  <si>
    <t>(a valid sheetName!cellAddress)</t>
  </si>
  <si>
    <t>(the highest input variable value you will allow for a proposed solution set)</t>
  </si>
  <si>
    <t>(the lowest input variable value you will allow for a proposed solution set)</t>
  </si>
  <si>
    <t>(an integer greater than 1 … higher numbers give better results but take up more memory)</t>
  </si>
  <si>
    <t>Y</t>
  </si>
  <si>
    <t>This screen lets you set default values for the Parameters Form.</t>
  </si>
  <si>
    <t>City</t>
  </si>
  <si>
    <t>Albany, NY</t>
  </si>
  <si>
    <t>Augusta, ME</t>
  </si>
  <si>
    <t>Boston, MA</t>
  </si>
  <si>
    <t>Bridgeport, CT</t>
  </si>
  <si>
    <t>Concord, NH</t>
  </si>
  <si>
    <t>Greewich, CT</t>
  </si>
  <si>
    <t>Hartford, CT</t>
  </si>
  <si>
    <t>Montpelier, VT</t>
  </si>
  <si>
    <t>Weight</t>
  </si>
  <si>
    <t>2nd trip to same city = 1/2</t>
  </si>
  <si>
    <t>3rd trip to same city = 1/10</t>
  </si>
  <si>
    <t>4th+ trip to same city = 0</t>
  </si>
  <si>
    <t>NE Road Trip</t>
  </si>
  <si>
    <t>value</t>
  </si>
  <si>
    <t>cost</t>
  </si>
  <si>
    <t>City Num.</t>
  </si>
  <si>
    <t>max. mileage</t>
  </si>
  <si>
    <t>points</t>
  </si>
  <si>
    <t>mileage penalty</t>
  </si>
  <si>
    <t>total score</t>
  </si>
  <si>
    <t>visits</t>
  </si>
  <si>
    <t>visit count</t>
  </si>
  <si>
    <t>visit factor</t>
  </si>
  <si>
    <t>adjusted value</t>
  </si>
  <si>
    <t>row</t>
  </si>
  <si>
    <t>col</t>
  </si>
  <si>
    <t>mileage</t>
  </si>
  <si>
    <t>starting point (evening arrival)</t>
  </si>
  <si>
    <t xml:space="preserve">Most actuaries have heard of the Traveling Salesman Problem (TSP). It’s a standard for testing optimization algorithms. The Wikipedia article I read (http://en.wikipedia.org/wiki/Travelling_salesman_problem#Computing_a_solution as of 2013-10-12) said it dates back to 1930; but I think it goes all the way back to 1735, when Leonhard Euler addressed the problem of the Seven Bridges of Königsberg. The basic ideas is to visit a number of cities (or cross a number of bridges) in the shortest path.
It’s an interesting problem; but I think we have the option to make it still more interesting, and perhaps more useful. Assume you are going to fly into Albany, NY, and then drive to several cities in the NY-New England area to visit with potential client companies. You can’t visit them all; and frankly, some cities may not be worth your time anyway. 
Let’s assume that you have decided that you will drive no more than 1,000 miles on this trip. You have targeted 8 potential cities. Some cities have more client or target market companies than others, so they will be weighted higher on your list of priorities.  In fact, you may even want to visit some cities more than one day since the number of potential visits is larger.
In this spreadsheet, I have chosen to start at Albany, and to travel to up to 7 other cities. I have assigned a weighting to each city, from 1 (low priority) to 4 (high priority). I want to take up to 9 half-day trips and city visits, and I will then fly back home from one of these cities. The rules of my spreadsheet are as follows:
The cities are each represented by a number (1=Albany, NY; 2= Augusta, ME; … 8= Montpelier, VT) and in total, I want to drive no more than 1,000 miles in 9 segments. I’ll give myself a credit for each city visited, based on its weight and the times I visited it. The first visit will be for the full weight, the second visit is only worth half that weight, and the third (or later) visit is worth only a tenth of the weight. How can I optimize?
In order to ensure that I don’t chose a route that exceeds a total of 1,000 miles, I’ll subtract 1 from my score for every mile that exceeds 1,000.
In this spreadsheet, you can see the mileage between each pair of cities, and in the Yellow area (Cells C17:C25) you can see the intended route (city-by-city). In the green cell (F28, you can read the score for that intended route. We want to maximize the value in the green cell by varying the city numbers in the yellow area.
I ran this using my genetic algorithm and got a top score of 16.75 and it reached that score in only 5 generations and under 5 seconds on my laptop. Then, in order to get a comparison, I used Excel’s Solver  Add-In and it replicated the 16.75 score but it took about a minute to determine that this was the best it could do. Obviously, Microsoft has a vast group of very highly talented mathematicians; and their solver can do some other cool things besides solve my modified TSP problem. However, it does have some hard limits, like at most 200 cells for the input range. Our little makeshift solution is not limited, other than by available memory and the number of rows in a spreadsheet.
Enjoy your trip down the path of Genetic Algorithm solutions! Let us know what cool new applications you discover.
Dave Snell (Dave@ActuariesAndTechnology.com) and Brian Grossmiller (Brian.Grossmiller@yahoo.com )
</t>
  </si>
  <si>
    <t>Read instructions here ==&gt;</t>
  </si>
  <si>
    <t>Variable Value</t>
  </si>
  <si>
    <t>ValueOK</t>
  </si>
  <si>
    <t>b</t>
  </si>
  <si>
    <t>c</t>
  </si>
  <si>
    <t>d</t>
  </si>
  <si>
    <t>e</t>
  </si>
  <si>
    <t>f</t>
  </si>
  <si>
    <t>g</t>
  </si>
  <si>
    <t>h</t>
  </si>
  <si>
    <t>Conditions</t>
  </si>
  <si>
    <t>conditions set:</t>
  </si>
  <si>
    <t>(new, test feature - applicable to EquationSolver)</t>
  </si>
  <si>
    <t>EquationSolver!$C$5:$C$12</t>
  </si>
  <si>
    <t>Min</t>
  </si>
  <si>
    <t>Max</t>
  </si>
  <si>
    <t>Int?</t>
  </si>
  <si>
    <t>N</t>
  </si>
  <si>
    <t>snp\Set</t>
  </si>
  <si>
    <t>Set</t>
  </si>
  <si>
    <t>Score</t>
  </si>
  <si>
    <t>a</t>
  </si>
  <si>
    <t>use ctrl ~ to toggle formula view</t>
  </si>
  <si>
    <t>IF YOU JUST WANT TO USE THIS AS AN APPLIANCE, THAT'S COOL TOO.</t>
  </si>
  <si>
    <t>&lt;== we want to minimize the standard deviation of the three results above</t>
  </si>
  <si>
    <t>This is an example of a problem that the Excel Solver cannot handle.</t>
  </si>
  <si>
    <t xml:space="preserve">We have three equations above (in cells G16:G18) and we wish to </t>
  </si>
  <si>
    <t>minimize the standard deviation of them in cell G19.</t>
  </si>
  <si>
    <t>The constraints on input variables appear in table range C5:E12</t>
  </si>
  <si>
    <t>where each of the eight variables has an allowable minimum, maximum,</t>
  </si>
  <si>
    <t>and type (integer or real). Note that variable f must also satisfy the</t>
  </si>
  <si>
    <t>condition that it is an even integer. This type of constraint is difficult,</t>
  </si>
  <si>
    <t>at best, to work into the Solver.</t>
  </si>
  <si>
    <t>Try a few sample values yourself for the variables a through h.</t>
  </si>
  <si>
    <t>samples to try manually:</t>
  </si>
  <si>
    <t>Check your resultant standard deviation in cell G19. Be sure to press F9 to calculate.</t>
  </si>
  <si>
    <t>Then, click on the button (near cell G22) to watch the genetic algorithm</t>
  </si>
  <si>
    <t>attempt a solution.</t>
  </si>
  <si>
    <t xml:space="preserve">Try again, with the First Generation option set to 'from previous run'. </t>
  </si>
  <si>
    <t>-Dave Snell</t>
  </si>
  <si>
    <t>&lt;=objective is to minimize</t>
  </si>
  <si>
    <t>(penalty for short coverage &gt;&gt; penalty for later preference)</t>
  </si>
  <si>
    <t>was Brian Grossmiller; and Brian thought of the provider network and the sales region examples.</t>
  </si>
  <si>
    <t>repeat for the dlsCode, and for ParametersFormExtended</t>
  </si>
  <si>
    <t>Similarly, export the forms ParametersForm and ParametersFormExtended</t>
  </si>
  <si>
    <t>Dave@ActuariesAndTechnology.com and Brian.Grossmiller@yahoo.com</t>
  </si>
  <si>
    <t>This was written by Dave Snell for a Society of Actuaries (SOA) workshop. Dave's co-presenter</t>
  </si>
  <si>
    <t xml:space="preserve">All you need to do is import the three code files into your workbook (details below), then set up </t>
  </si>
  <si>
    <t>Your goal is to minimize the value in cell H38 of the Region Staffing worksheet.</t>
  </si>
  <si>
    <t>Your input area for trial solution sets is the range C28 through C39 on that same sheet.</t>
  </si>
  <si>
    <t xml:space="preserve">https://www.soa.org/news-and-publications/newsletters/forecasting-futurism/default.aspx </t>
  </si>
  <si>
    <t>Region_Staffing!$C$28:$C$39</t>
  </si>
  <si>
    <t>Region_Staffing!$H$38</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</si>
</sst>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43" formatCode="_(* #,##0.00_);_(* \(#,##0.00\);_(* &quot;-&quot;??_);_(@_)"/>
    <numFmt numFmtId="164" formatCode="_(* #,##0_);_(* \(#,##0\);_(* &quot;-&quot;??_);_(@_)"/>
  </numFmts>
  <fonts count="10" x14ac:knownFonts="1">
    <font>
      <sz val="11"/>
      <color theme="1"/>
      <name val="Century Schoolbook"/>
      <family val="2"/>
    </font>
    <font>
      <b/>
      <sz val="11"/>
      <color theme="1"/>
      <name val="Century Schoolbook"/>
      <family val="1"/>
    </font>
    <font>
      <sz val="9"/>
      <color indexed="81"/>
      <name val="Tahoma"/>
      <family val="2"/>
    </font>
    <font>
      <b/>
      <sz val="9"/>
      <color indexed="81"/>
      <name val="Tahoma"/>
      <family val="2"/>
    </font>
    <font>
      <sz val="10"/>
      <name val="MS Sans Serif"/>
      <family val="2"/>
    </font>
    <font>
      <sz val="10"/>
      <name val="MS Sans Serif"/>
      <family val="2"/>
    </font>
    <font>
      <b/>
      <sz val="11"/>
      <color rgb="FFFF0000"/>
      <name val="Century Schoolbook"/>
      <family val="1"/>
    </font>
    <font>
      <sz val="11"/>
      <color theme="1"/>
      <name val="Century Schoolbook"/>
      <family val="2"/>
    </font>
    <font>
      <sz val="11"/>
      <color rgb="FFFF0000"/>
      <name val="Century Schoolbook"/>
      <family val="2"/>
    </font>
    <font>
      <u/>
      <sz val="11"/>
      <color theme="10"/>
      <name val="Century Schoolbook"/>
      <family val="2"/>
    </font>
  </fonts>
  <fills count="9">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rgb="FF92D050"/>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3" tint="0.39997558519241921"/>
        <bgColor indexed="64"/>
      </patternFill>
    </fill>
  </fills>
  <borders count="9">
    <border>
      <left/>
      <right/>
      <top/>
      <bottom/>
      <diagonal/>
    </border>
    <border>
      <left/>
      <right/>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5">
    <xf numFmtId="0" fontId="0" fillId="0" borderId="0"/>
    <xf numFmtId="0" fontId="4" fillId="0" borderId="0"/>
    <xf numFmtId="9" fontId="5" fillId="0" borderId="0" applyFont="0" applyFill="0" applyBorder="0" applyAlignment="0" applyProtection="0"/>
    <xf numFmtId="43" fontId="7" fillId="0" borderId="0" applyFont="0" applyFill="0" applyBorder="0" applyAlignment="0" applyProtection="0"/>
    <xf numFmtId="0" fontId="9" fillId="0" borderId="0" applyNumberFormat="0" applyFill="0" applyBorder="0" applyAlignment="0" applyProtection="0"/>
  </cellStyleXfs>
  <cellXfs count="34">
    <xf numFmtId="0" fontId="0" fillId="0" borderId="0" xfId="0"/>
    <xf numFmtId="0" fontId="0" fillId="0" borderId="1" xfId="0" applyBorder="1"/>
    <xf numFmtId="0" fontId="0" fillId="0" borderId="0" xfId="0" applyBorder="1"/>
    <xf numFmtId="0" fontId="0" fillId="2" borderId="0" xfId="0" applyFill="1"/>
    <xf numFmtId="0" fontId="0" fillId="0" borderId="1" xfId="0" applyFill="1" applyBorder="1"/>
    <xf numFmtId="0" fontId="1" fillId="0" borderId="0" xfId="0" applyFont="1"/>
    <xf numFmtId="0" fontId="0" fillId="3" borderId="0" xfId="0" applyFill="1"/>
    <xf numFmtId="0" fontId="0" fillId="0" borderId="0" xfId="0" applyAlignment="1">
      <alignment horizontal="right"/>
    </xf>
    <xf numFmtId="0" fontId="0" fillId="3" borderId="0" xfId="0" applyFill="1" applyAlignment="1">
      <alignment horizontal="right"/>
    </xf>
    <xf numFmtId="2" fontId="0" fillId="4" borderId="0" xfId="0" applyNumberFormat="1" applyFill="1"/>
    <xf numFmtId="0" fontId="0" fillId="5" borderId="0" xfId="0" applyFill="1"/>
    <xf numFmtId="0" fontId="0" fillId="6" borderId="0" xfId="0" applyFill="1" applyAlignment="1">
      <alignment horizontal="right"/>
    </xf>
    <xf numFmtId="0" fontId="0" fillId="6" borderId="0" xfId="0" applyFill="1"/>
    <xf numFmtId="0" fontId="6" fillId="0" borderId="0" xfId="0" applyFont="1" applyAlignment="1">
      <alignment vertical="top"/>
    </xf>
    <xf numFmtId="0" fontId="0" fillId="0" borderId="0" xfId="0" quotePrefix="1"/>
    <xf numFmtId="0" fontId="0" fillId="4" borderId="0" xfId="0" applyFill="1"/>
    <xf numFmtId="43" fontId="0" fillId="6" borderId="0" xfId="3" applyFont="1" applyFill="1"/>
    <xf numFmtId="43" fontId="0" fillId="7" borderId="0" xfId="3" applyFont="1" applyFill="1"/>
    <xf numFmtId="43" fontId="0" fillId="0" borderId="0" xfId="3" applyFont="1"/>
    <xf numFmtId="43" fontId="0" fillId="3" borderId="0" xfId="3" applyFont="1" applyFill="1"/>
    <xf numFmtId="0" fontId="8" fillId="0" borderId="0" xfId="0" quotePrefix="1" applyFont="1"/>
    <xf numFmtId="43" fontId="0" fillId="0" borderId="0" xfId="0" applyNumberFormat="1"/>
    <xf numFmtId="0" fontId="0" fillId="8" borderId="0" xfId="0" applyFill="1"/>
    <xf numFmtId="43" fontId="0" fillId="8" borderId="0" xfId="3" applyFont="1" applyFill="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164" fontId="0" fillId="0" borderId="0" xfId="3" applyNumberFormat="1" applyFont="1"/>
    <xf numFmtId="0" fontId="9" fillId="0" borderId="0" xfId="4"/>
    <xf numFmtId="0" fontId="0" fillId="0" borderId="0" xfId="0" applyAlignment="1">
      <alignment horizontal="left" wrapText="1"/>
    </xf>
  </cellXfs>
  <cellStyles count="5">
    <cellStyle name="Comma" xfId="3" builtinId="3"/>
    <cellStyle name="Hyperlink" xfId="4" builtinId="8"/>
    <cellStyle name="Normal" xfId="0" builtinId="0"/>
    <cellStyle name="Normal 2" xfId="1"/>
    <cellStyle name="Percent 2"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5</xdr:col>
      <xdr:colOff>60960</xdr:colOff>
      <xdr:row>2</xdr:row>
      <xdr:rowOff>38100</xdr:rowOff>
    </xdr:from>
    <xdr:to>
      <xdr:col>9</xdr:col>
      <xdr:colOff>299357</xdr:colOff>
      <xdr:row>4</xdr:row>
      <xdr:rowOff>121920</xdr:rowOff>
    </xdr:to>
    <xdr:sp macro="[0]!StaffingExample" textlink="">
      <xdr:nvSpPr>
        <xdr:cNvPr id="2" name="Rounded Rectangle 1"/>
        <xdr:cNvSpPr/>
      </xdr:nvSpPr>
      <xdr:spPr>
        <a:xfrm>
          <a:off x="4007031" y="405493"/>
          <a:ext cx="3177540" cy="43760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Start Genetic Algorithm for this sample problem</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127000</xdr:colOff>
      <xdr:row>25</xdr:row>
      <xdr:rowOff>127000</xdr:rowOff>
    </xdr:from>
    <xdr:to>
      <xdr:col>10</xdr:col>
      <xdr:colOff>52916</xdr:colOff>
      <xdr:row>27</xdr:row>
      <xdr:rowOff>148166</xdr:rowOff>
    </xdr:to>
    <xdr:sp macro="[0]!SalesTripExample" textlink="">
      <xdr:nvSpPr>
        <xdr:cNvPr id="2" name="Rounded Rectangle 1"/>
        <xdr:cNvSpPr/>
      </xdr:nvSpPr>
      <xdr:spPr>
        <a:xfrm>
          <a:off x="6625167" y="4804833"/>
          <a:ext cx="2973916" cy="381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Start Genetic Algorithm for this sample problem</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230505</xdr:colOff>
      <xdr:row>19</xdr:row>
      <xdr:rowOff>118110</xdr:rowOff>
    </xdr:from>
    <xdr:to>
      <xdr:col>7</xdr:col>
      <xdr:colOff>575310</xdr:colOff>
      <xdr:row>24</xdr:row>
      <xdr:rowOff>99060</xdr:rowOff>
    </xdr:to>
    <xdr:sp macro="[0]!FormulaSolverExample" textlink="">
      <xdr:nvSpPr>
        <xdr:cNvPr id="2" name="Horizontal Scroll 1"/>
        <xdr:cNvSpPr/>
      </xdr:nvSpPr>
      <xdr:spPr>
        <a:xfrm>
          <a:off x="2874645" y="3448050"/>
          <a:ext cx="2234565" cy="857250"/>
        </a:xfrm>
        <a:prstGeom prst="horizontalScroll">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Click here to try an extended form of the Genetic algorithm program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hyperlink" Target="https://www.soa.org/news-and-publications/newsletters/forecasting-futurism/default.aspx"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CW15"/>
  <sheetViews>
    <sheetView workbookViewId="0"/>
  </sheetViews>
  <sheetFormatPr defaultRowHeight="14.25" x14ac:dyDescent="0.2"/>
  <sheetData>
    <row r="1" spans="1:101" x14ac:dyDescent="0.2">
      <c r="A1" t="s">
        <v>157</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c r="AO1">
        <v>40</v>
      </c>
      <c r="AP1">
        <v>41</v>
      </c>
      <c r="AQ1">
        <v>42</v>
      </c>
      <c r="AR1">
        <v>43</v>
      </c>
      <c r="AS1">
        <v>44</v>
      </c>
      <c r="AT1">
        <v>45</v>
      </c>
      <c r="AU1">
        <v>46</v>
      </c>
      <c r="AV1">
        <v>47</v>
      </c>
      <c r="AW1">
        <v>48</v>
      </c>
      <c r="AX1">
        <v>49</v>
      </c>
      <c r="AY1">
        <v>50</v>
      </c>
      <c r="AZ1">
        <v>51</v>
      </c>
      <c r="BA1">
        <v>52</v>
      </c>
      <c r="BB1">
        <v>53</v>
      </c>
      <c r="BC1">
        <v>54</v>
      </c>
      <c r="BD1">
        <v>55</v>
      </c>
      <c r="BE1">
        <v>56</v>
      </c>
      <c r="BF1">
        <v>57</v>
      </c>
      <c r="BG1">
        <v>58</v>
      </c>
      <c r="BH1">
        <v>59</v>
      </c>
      <c r="BI1">
        <v>60</v>
      </c>
      <c r="BJ1">
        <v>61</v>
      </c>
      <c r="BK1">
        <v>62</v>
      </c>
      <c r="BL1">
        <v>63</v>
      </c>
      <c r="BM1">
        <v>64</v>
      </c>
      <c r="BN1">
        <v>65</v>
      </c>
      <c r="BO1">
        <v>66</v>
      </c>
      <c r="BP1">
        <v>67</v>
      </c>
      <c r="BQ1">
        <v>68</v>
      </c>
      <c r="BR1">
        <v>69</v>
      </c>
      <c r="BS1">
        <v>70</v>
      </c>
      <c r="BT1">
        <v>71</v>
      </c>
      <c r="BU1">
        <v>72</v>
      </c>
      <c r="BV1">
        <v>73</v>
      </c>
      <c r="BW1">
        <v>74</v>
      </c>
      <c r="BX1">
        <v>75</v>
      </c>
      <c r="BY1">
        <v>76</v>
      </c>
      <c r="BZ1">
        <v>77</v>
      </c>
      <c r="CA1">
        <v>78</v>
      </c>
      <c r="CB1">
        <v>79</v>
      </c>
      <c r="CC1">
        <v>80</v>
      </c>
      <c r="CD1">
        <v>81</v>
      </c>
      <c r="CE1">
        <v>82</v>
      </c>
      <c r="CF1">
        <v>83</v>
      </c>
      <c r="CG1">
        <v>84</v>
      </c>
      <c r="CH1">
        <v>85</v>
      </c>
      <c r="CI1">
        <v>86</v>
      </c>
      <c r="CJ1">
        <v>87</v>
      </c>
      <c r="CK1">
        <v>88</v>
      </c>
      <c r="CL1">
        <v>89</v>
      </c>
      <c r="CM1">
        <v>90</v>
      </c>
      <c r="CN1">
        <v>91</v>
      </c>
      <c r="CO1">
        <v>92</v>
      </c>
      <c r="CP1">
        <v>93</v>
      </c>
      <c r="CQ1">
        <v>94</v>
      </c>
      <c r="CR1">
        <v>95</v>
      </c>
      <c r="CS1">
        <v>96</v>
      </c>
      <c r="CT1">
        <v>97</v>
      </c>
      <c r="CU1">
        <v>98</v>
      </c>
      <c r="CV1">
        <v>99</v>
      </c>
      <c r="CW1">
        <v>100</v>
      </c>
    </row>
    <row r="2" spans="1:101" x14ac:dyDescent="0.2">
      <c r="A2">
        <v>1</v>
      </c>
      <c r="B2">
        <v>0</v>
      </c>
      <c r="C2">
        <v>2</v>
      </c>
      <c r="D2">
        <v>6</v>
      </c>
      <c r="E2">
        <v>0</v>
      </c>
      <c r="F2">
        <v>3</v>
      </c>
      <c r="G2">
        <v>0</v>
      </c>
      <c r="H2">
        <v>0</v>
      </c>
      <c r="I2">
        <v>1</v>
      </c>
      <c r="J2">
        <v>6</v>
      </c>
      <c r="K2">
        <v>1</v>
      </c>
      <c r="L2">
        <v>1</v>
      </c>
      <c r="M2">
        <v>1</v>
      </c>
      <c r="N2">
        <v>1</v>
      </c>
      <c r="O2">
        <v>5</v>
      </c>
      <c r="P2">
        <v>5</v>
      </c>
      <c r="Q2">
        <v>1</v>
      </c>
      <c r="R2">
        <v>2</v>
      </c>
      <c r="S2">
        <v>5</v>
      </c>
      <c r="T2">
        <v>5</v>
      </c>
      <c r="U2">
        <v>3</v>
      </c>
      <c r="V2">
        <v>3</v>
      </c>
      <c r="W2">
        <v>0</v>
      </c>
      <c r="X2">
        <v>1</v>
      </c>
      <c r="Y2">
        <v>0</v>
      </c>
      <c r="Z2">
        <v>0</v>
      </c>
      <c r="AA2">
        <v>3</v>
      </c>
      <c r="AB2">
        <v>0</v>
      </c>
      <c r="AC2">
        <v>5</v>
      </c>
      <c r="AD2">
        <v>6</v>
      </c>
      <c r="AE2">
        <v>0</v>
      </c>
      <c r="AF2">
        <v>1</v>
      </c>
      <c r="AG2">
        <v>6</v>
      </c>
      <c r="AH2">
        <v>4</v>
      </c>
      <c r="AI2">
        <v>6</v>
      </c>
      <c r="AJ2">
        <v>3</v>
      </c>
      <c r="AK2">
        <v>1</v>
      </c>
      <c r="AL2">
        <v>4</v>
      </c>
      <c r="AM2">
        <v>0</v>
      </c>
      <c r="AN2">
        <v>0</v>
      </c>
      <c r="AO2">
        <v>5</v>
      </c>
      <c r="AP2">
        <v>6</v>
      </c>
      <c r="AQ2">
        <v>2</v>
      </c>
      <c r="AR2">
        <v>6</v>
      </c>
      <c r="AS2">
        <v>4</v>
      </c>
      <c r="AT2">
        <v>3</v>
      </c>
      <c r="AU2">
        <v>6</v>
      </c>
      <c r="AV2">
        <v>2</v>
      </c>
      <c r="AW2">
        <v>4</v>
      </c>
      <c r="AX2">
        <v>5</v>
      </c>
      <c r="AY2">
        <v>5</v>
      </c>
      <c r="AZ2">
        <v>4</v>
      </c>
      <c r="BA2">
        <v>6</v>
      </c>
      <c r="BB2">
        <v>3</v>
      </c>
      <c r="BC2">
        <v>1</v>
      </c>
      <c r="BD2">
        <v>4</v>
      </c>
      <c r="BE2">
        <v>3</v>
      </c>
      <c r="BF2">
        <v>4</v>
      </c>
      <c r="BG2">
        <v>0</v>
      </c>
      <c r="BH2">
        <v>5</v>
      </c>
      <c r="BI2">
        <v>2</v>
      </c>
      <c r="BJ2">
        <v>6</v>
      </c>
      <c r="BK2">
        <v>1</v>
      </c>
      <c r="BL2">
        <v>2</v>
      </c>
      <c r="BM2">
        <v>4</v>
      </c>
      <c r="BN2">
        <v>2</v>
      </c>
      <c r="BO2">
        <v>2</v>
      </c>
      <c r="BP2">
        <v>6</v>
      </c>
      <c r="BQ2">
        <v>0</v>
      </c>
      <c r="BR2">
        <v>5</v>
      </c>
      <c r="BS2">
        <v>2</v>
      </c>
      <c r="BT2">
        <v>0</v>
      </c>
      <c r="BU2">
        <v>2</v>
      </c>
      <c r="BV2">
        <v>4</v>
      </c>
      <c r="BW2">
        <v>1</v>
      </c>
      <c r="BX2">
        <v>0</v>
      </c>
      <c r="BY2">
        <v>6</v>
      </c>
      <c r="BZ2">
        <v>6</v>
      </c>
      <c r="CA2">
        <v>0</v>
      </c>
      <c r="CB2">
        <v>3</v>
      </c>
      <c r="CC2">
        <v>3</v>
      </c>
      <c r="CD2">
        <v>6</v>
      </c>
      <c r="CE2">
        <v>0</v>
      </c>
      <c r="CF2">
        <v>6</v>
      </c>
      <c r="CG2">
        <v>4</v>
      </c>
      <c r="CH2">
        <v>5</v>
      </c>
      <c r="CI2">
        <v>3</v>
      </c>
      <c r="CJ2">
        <v>0</v>
      </c>
      <c r="CK2">
        <v>5</v>
      </c>
      <c r="CL2">
        <v>2</v>
      </c>
      <c r="CM2">
        <v>4</v>
      </c>
      <c r="CN2">
        <v>5</v>
      </c>
      <c r="CO2">
        <v>1</v>
      </c>
      <c r="CP2">
        <v>0</v>
      </c>
      <c r="CQ2">
        <v>0</v>
      </c>
      <c r="CR2">
        <v>1</v>
      </c>
      <c r="CS2">
        <v>5</v>
      </c>
      <c r="CT2">
        <v>5</v>
      </c>
      <c r="CU2">
        <v>1</v>
      </c>
      <c r="CV2">
        <v>6</v>
      </c>
      <c r="CW2">
        <v>1</v>
      </c>
    </row>
    <row r="3" spans="1:101" x14ac:dyDescent="0.2">
      <c r="A3">
        <v>2</v>
      </c>
      <c r="B3">
        <v>1</v>
      </c>
      <c r="C3">
        <v>4</v>
      </c>
      <c r="D3">
        <v>5</v>
      </c>
      <c r="E3">
        <v>3</v>
      </c>
      <c r="F3">
        <v>1</v>
      </c>
      <c r="G3">
        <v>4</v>
      </c>
      <c r="H3">
        <v>0</v>
      </c>
      <c r="I3">
        <v>0</v>
      </c>
      <c r="J3">
        <v>1</v>
      </c>
      <c r="K3">
        <v>5</v>
      </c>
      <c r="L3">
        <v>3</v>
      </c>
      <c r="M3">
        <v>6</v>
      </c>
      <c r="N3">
        <v>6</v>
      </c>
      <c r="O3">
        <v>1</v>
      </c>
      <c r="P3">
        <v>1</v>
      </c>
      <c r="Q3">
        <v>0</v>
      </c>
      <c r="R3">
        <v>0</v>
      </c>
      <c r="S3">
        <v>1</v>
      </c>
      <c r="T3">
        <v>1</v>
      </c>
      <c r="U3">
        <v>4</v>
      </c>
      <c r="V3">
        <v>1</v>
      </c>
      <c r="W3">
        <v>1</v>
      </c>
      <c r="X3">
        <v>5</v>
      </c>
      <c r="Y3">
        <v>5</v>
      </c>
      <c r="Z3">
        <v>0</v>
      </c>
      <c r="AA3">
        <v>5</v>
      </c>
      <c r="AB3">
        <v>6</v>
      </c>
      <c r="AC3">
        <v>5</v>
      </c>
      <c r="AD3">
        <v>3</v>
      </c>
      <c r="AE3">
        <v>3</v>
      </c>
      <c r="AF3">
        <v>3</v>
      </c>
      <c r="AG3">
        <v>5</v>
      </c>
      <c r="AH3">
        <v>5</v>
      </c>
      <c r="AI3">
        <v>1</v>
      </c>
      <c r="AJ3">
        <v>0</v>
      </c>
      <c r="AK3">
        <v>1</v>
      </c>
      <c r="AL3">
        <v>5</v>
      </c>
      <c r="AM3">
        <v>1</v>
      </c>
      <c r="AN3">
        <v>2</v>
      </c>
      <c r="AO3">
        <v>3</v>
      </c>
      <c r="AP3">
        <v>3</v>
      </c>
      <c r="AQ3">
        <v>3</v>
      </c>
      <c r="AR3">
        <v>3</v>
      </c>
      <c r="AS3">
        <v>6</v>
      </c>
      <c r="AT3">
        <v>6</v>
      </c>
      <c r="AU3">
        <v>1</v>
      </c>
      <c r="AV3">
        <v>3</v>
      </c>
      <c r="AW3">
        <v>0</v>
      </c>
      <c r="AX3">
        <v>5</v>
      </c>
      <c r="AY3">
        <v>4</v>
      </c>
      <c r="AZ3">
        <v>2</v>
      </c>
      <c r="BA3">
        <v>3</v>
      </c>
      <c r="BB3">
        <v>1</v>
      </c>
      <c r="BC3">
        <v>3</v>
      </c>
      <c r="BD3">
        <v>1</v>
      </c>
      <c r="BE3">
        <v>6</v>
      </c>
      <c r="BF3">
        <v>6</v>
      </c>
      <c r="BG3">
        <v>0</v>
      </c>
      <c r="BH3">
        <v>6</v>
      </c>
      <c r="BI3">
        <v>3</v>
      </c>
      <c r="BJ3">
        <v>1</v>
      </c>
      <c r="BK3">
        <v>2</v>
      </c>
      <c r="BL3">
        <v>0</v>
      </c>
      <c r="BM3">
        <v>1</v>
      </c>
      <c r="BN3">
        <v>6</v>
      </c>
      <c r="BO3">
        <v>4</v>
      </c>
      <c r="BP3">
        <v>6</v>
      </c>
      <c r="BQ3">
        <v>1</v>
      </c>
      <c r="BR3">
        <v>2</v>
      </c>
      <c r="BS3">
        <v>3</v>
      </c>
      <c r="BT3">
        <v>3</v>
      </c>
      <c r="BU3">
        <v>6</v>
      </c>
      <c r="BV3">
        <v>1</v>
      </c>
      <c r="BW3">
        <v>0</v>
      </c>
      <c r="BX3">
        <v>3</v>
      </c>
      <c r="BY3">
        <v>0</v>
      </c>
      <c r="BZ3">
        <v>0</v>
      </c>
      <c r="CA3">
        <v>2</v>
      </c>
      <c r="CB3">
        <v>5</v>
      </c>
      <c r="CC3">
        <v>4</v>
      </c>
      <c r="CD3">
        <v>4</v>
      </c>
      <c r="CE3">
        <v>1</v>
      </c>
      <c r="CF3">
        <v>4</v>
      </c>
      <c r="CG3">
        <v>3</v>
      </c>
      <c r="CH3">
        <v>6</v>
      </c>
      <c r="CI3">
        <v>0</v>
      </c>
      <c r="CJ3">
        <v>5</v>
      </c>
      <c r="CK3">
        <v>5</v>
      </c>
      <c r="CL3">
        <v>4</v>
      </c>
      <c r="CM3">
        <v>1</v>
      </c>
      <c r="CN3">
        <v>2</v>
      </c>
      <c r="CO3">
        <v>1</v>
      </c>
      <c r="CP3">
        <v>5</v>
      </c>
      <c r="CQ3">
        <v>0</v>
      </c>
      <c r="CR3">
        <v>4</v>
      </c>
      <c r="CS3">
        <v>4</v>
      </c>
      <c r="CT3">
        <v>6</v>
      </c>
      <c r="CU3">
        <v>0</v>
      </c>
      <c r="CV3">
        <v>0</v>
      </c>
      <c r="CW3">
        <v>3</v>
      </c>
    </row>
    <row r="4" spans="1:101" x14ac:dyDescent="0.2">
      <c r="A4">
        <v>3</v>
      </c>
      <c r="B4">
        <v>0</v>
      </c>
      <c r="C4">
        <v>2</v>
      </c>
      <c r="D4">
        <v>0</v>
      </c>
      <c r="E4">
        <v>0</v>
      </c>
      <c r="F4">
        <v>0</v>
      </c>
      <c r="G4">
        <v>3</v>
      </c>
      <c r="H4">
        <v>4</v>
      </c>
      <c r="I4">
        <v>0</v>
      </c>
      <c r="J4">
        <v>0</v>
      </c>
      <c r="K4">
        <v>3</v>
      </c>
      <c r="L4">
        <v>5</v>
      </c>
      <c r="M4">
        <v>0</v>
      </c>
      <c r="N4">
        <v>0</v>
      </c>
      <c r="O4">
        <v>2</v>
      </c>
      <c r="P4">
        <v>3</v>
      </c>
      <c r="Q4">
        <v>4</v>
      </c>
      <c r="R4">
        <v>0</v>
      </c>
      <c r="S4">
        <v>4</v>
      </c>
      <c r="T4">
        <v>0</v>
      </c>
      <c r="U4">
        <v>0</v>
      </c>
      <c r="V4">
        <v>0</v>
      </c>
      <c r="W4">
        <v>0</v>
      </c>
      <c r="X4">
        <v>2</v>
      </c>
      <c r="Y4">
        <v>0</v>
      </c>
      <c r="Z4">
        <v>6</v>
      </c>
      <c r="AA4">
        <v>3</v>
      </c>
      <c r="AB4">
        <v>5</v>
      </c>
      <c r="AC4">
        <v>2</v>
      </c>
      <c r="AD4">
        <v>0</v>
      </c>
      <c r="AE4">
        <v>3</v>
      </c>
      <c r="AF4">
        <v>0</v>
      </c>
      <c r="AG4">
        <v>1</v>
      </c>
      <c r="AH4">
        <v>2</v>
      </c>
      <c r="AI4">
        <v>4</v>
      </c>
      <c r="AJ4">
        <v>0</v>
      </c>
      <c r="AK4">
        <v>1</v>
      </c>
      <c r="AL4">
        <v>2</v>
      </c>
      <c r="AM4">
        <v>0</v>
      </c>
      <c r="AN4">
        <v>5</v>
      </c>
      <c r="AO4">
        <v>6</v>
      </c>
      <c r="AP4">
        <v>0</v>
      </c>
      <c r="AQ4">
        <v>2</v>
      </c>
      <c r="AR4">
        <v>0</v>
      </c>
      <c r="AS4">
        <v>5</v>
      </c>
      <c r="AT4">
        <v>6</v>
      </c>
      <c r="AU4">
        <v>0</v>
      </c>
      <c r="AV4">
        <v>1</v>
      </c>
      <c r="AW4">
        <v>1</v>
      </c>
      <c r="AX4">
        <v>1</v>
      </c>
      <c r="AY4">
        <v>5</v>
      </c>
      <c r="AZ4">
        <v>6</v>
      </c>
      <c r="BA4">
        <v>0</v>
      </c>
      <c r="BB4">
        <v>1</v>
      </c>
      <c r="BC4">
        <v>3</v>
      </c>
      <c r="BD4">
        <v>0</v>
      </c>
      <c r="BE4">
        <v>4</v>
      </c>
      <c r="BF4">
        <v>0</v>
      </c>
      <c r="BG4">
        <v>0</v>
      </c>
      <c r="BH4">
        <v>6</v>
      </c>
      <c r="BI4">
        <v>1</v>
      </c>
      <c r="BJ4">
        <v>2</v>
      </c>
      <c r="BK4">
        <v>3</v>
      </c>
      <c r="BL4">
        <v>0</v>
      </c>
      <c r="BM4">
        <v>3</v>
      </c>
      <c r="BN4">
        <v>0</v>
      </c>
      <c r="BO4">
        <v>4</v>
      </c>
      <c r="BP4">
        <v>0</v>
      </c>
      <c r="BQ4">
        <v>3</v>
      </c>
      <c r="BR4">
        <v>2</v>
      </c>
      <c r="BS4">
        <v>5</v>
      </c>
      <c r="BT4">
        <v>6</v>
      </c>
      <c r="BU4">
        <v>1</v>
      </c>
      <c r="BV4">
        <v>6</v>
      </c>
      <c r="BW4">
        <v>5</v>
      </c>
      <c r="BX4">
        <v>1</v>
      </c>
      <c r="BY4">
        <v>0</v>
      </c>
      <c r="BZ4">
        <v>1</v>
      </c>
      <c r="CA4">
        <v>2</v>
      </c>
      <c r="CB4">
        <v>6</v>
      </c>
      <c r="CC4">
        <v>4</v>
      </c>
      <c r="CD4">
        <v>3</v>
      </c>
      <c r="CE4">
        <v>0</v>
      </c>
      <c r="CF4">
        <v>2</v>
      </c>
      <c r="CG4">
        <v>5</v>
      </c>
      <c r="CH4">
        <v>1</v>
      </c>
      <c r="CI4">
        <v>1</v>
      </c>
      <c r="CJ4">
        <v>4</v>
      </c>
      <c r="CK4">
        <v>2</v>
      </c>
      <c r="CL4">
        <v>6</v>
      </c>
      <c r="CM4">
        <v>3</v>
      </c>
      <c r="CN4">
        <v>1</v>
      </c>
      <c r="CO4">
        <v>4</v>
      </c>
      <c r="CP4">
        <v>4</v>
      </c>
      <c r="CQ4">
        <v>0</v>
      </c>
      <c r="CR4">
        <v>3</v>
      </c>
      <c r="CS4">
        <v>0</v>
      </c>
      <c r="CT4">
        <v>5</v>
      </c>
      <c r="CU4">
        <v>0</v>
      </c>
      <c r="CV4">
        <v>5</v>
      </c>
      <c r="CW4">
        <v>3</v>
      </c>
    </row>
    <row r="5" spans="1:101" x14ac:dyDescent="0.2">
      <c r="A5">
        <v>4</v>
      </c>
      <c r="B5">
        <v>4</v>
      </c>
      <c r="C5">
        <v>0</v>
      </c>
      <c r="D5">
        <v>0</v>
      </c>
      <c r="E5">
        <v>5</v>
      </c>
      <c r="F5">
        <v>3</v>
      </c>
      <c r="G5">
        <v>5</v>
      </c>
      <c r="H5">
        <v>2</v>
      </c>
      <c r="I5">
        <v>3</v>
      </c>
      <c r="J5">
        <v>2</v>
      </c>
      <c r="K5">
        <v>1</v>
      </c>
      <c r="L5">
        <v>1</v>
      </c>
      <c r="M5">
        <v>2</v>
      </c>
      <c r="N5">
        <v>1</v>
      </c>
      <c r="O5">
        <v>0</v>
      </c>
      <c r="P5">
        <v>0</v>
      </c>
      <c r="Q5">
        <v>3</v>
      </c>
      <c r="R5">
        <v>1</v>
      </c>
      <c r="S5">
        <v>0</v>
      </c>
      <c r="T5">
        <v>2</v>
      </c>
      <c r="U5">
        <v>0</v>
      </c>
      <c r="V5">
        <v>3</v>
      </c>
      <c r="W5">
        <v>6</v>
      </c>
      <c r="X5">
        <v>2</v>
      </c>
      <c r="Y5">
        <v>4</v>
      </c>
      <c r="Z5">
        <v>3</v>
      </c>
      <c r="AA5">
        <v>2</v>
      </c>
      <c r="AB5">
        <v>3</v>
      </c>
      <c r="AC5">
        <v>5</v>
      </c>
      <c r="AD5">
        <v>1</v>
      </c>
      <c r="AE5">
        <v>1</v>
      </c>
      <c r="AF5">
        <v>1</v>
      </c>
      <c r="AG5">
        <v>2</v>
      </c>
      <c r="AH5">
        <v>5</v>
      </c>
      <c r="AI5">
        <v>1</v>
      </c>
      <c r="AJ5">
        <v>3</v>
      </c>
      <c r="AK5">
        <v>5</v>
      </c>
      <c r="AL5">
        <v>1</v>
      </c>
      <c r="AM5">
        <v>5</v>
      </c>
      <c r="AN5">
        <v>2</v>
      </c>
      <c r="AO5">
        <v>2</v>
      </c>
      <c r="AP5">
        <v>5</v>
      </c>
      <c r="AQ5">
        <v>5</v>
      </c>
      <c r="AR5">
        <v>2</v>
      </c>
      <c r="AS5">
        <v>6</v>
      </c>
      <c r="AT5">
        <v>3</v>
      </c>
      <c r="AU5">
        <v>1</v>
      </c>
      <c r="AV5">
        <v>3</v>
      </c>
      <c r="AW5">
        <v>4</v>
      </c>
      <c r="AX5">
        <v>2</v>
      </c>
      <c r="AY5">
        <v>0</v>
      </c>
      <c r="AZ5">
        <v>3</v>
      </c>
      <c r="BA5">
        <v>0</v>
      </c>
      <c r="BB5">
        <v>0</v>
      </c>
      <c r="BC5">
        <v>1</v>
      </c>
      <c r="BD5">
        <v>3</v>
      </c>
      <c r="BE5">
        <v>6</v>
      </c>
      <c r="BF5">
        <v>4</v>
      </c>
      <c r="BG5">
        <v>1</v>
      </c>
      <c r="BH5">
        <v>3</v>
      </c>
      <c r="BI5">
        <v>5</v>
      </c>
      <c r="BJ5">
        <v>5</v>
      </c>
      <c r="BK5">
        <v>1</v>
      </c>
      <c r="BL5">
        <v>0</v>
      </c>
      <c r="BM5">
        <v>1</v>
      </c>
      <c r="BN5">
        <v>0</v>
      </c>
      <c r="BO5">
        <v>3</v>
      </c>
      <c r="BP5">
        <v>0</v>
      </c>
      <c r="BQ5">
        <v>6</v>
      </c>
      <c r="BR5">
        <v>0</v>
      </c>
      <c r="BS5">
        <v>4</v>
      </c>
      <c r="BT5">
        <v>2</v>
      </c>
      <c r="BU5">
        <v>0</v>
      </c>
      <c r="BV5">
        <v>5</v>
      </c>
      <c r="BW5">
        <v>5</v>
      </c>
      <c r="BX5">
        <v>4</v>
      </c>
      <c r="BY5">
        <v>0</v>
      </c>
      <c r="BZ5">
        <v>2</v>
      </c>
      <c r="CA5">
        <v>5</v>
      </c>
      <c r="CB5">
        <v>4</v>
      </c>
      <c r="CC5">
        <v>2</v>
      </c>
      <c r="CD5">
        <v>5</v>
      </c>
      <c r="CE5">
        <v>4</v>
      </c>
      <c r="CF5">
        <v>2</v>
      </c>
      <c r="CG5">
        <v>6</v>
      </c>
      <c r="CH5">
        <v>6</v>
      </c>
      <c r="CI5">
        <v>0</v>
      </c>
      <c r="CJ5">
        <v>3</v>
      </c>
      <c r="CK5">
        <v>0</v>
      </c>
      <c r="CL5">
        <v>4</v>
      </c>
      <c r="CM5">
        <v>6</v>
      </c>
      <c r="CN5">
        <v>2</v>
      </c>
      <c r="CO5">
        <v>0</v>
      </c>
      <c r="CP5">
        <v>4</v>
      </c>
      <c r="CQ5">
        <v>3</v>
      </c>
      <c r="CR5">
        <v>5</v>
      </c>
      <c r="CS5">
        <v>5</v>
      </c>
      <c r="CT5">
        <v>4</v>
      </c>
      <c r="CU5">
        <v>1</v>
      </c>
      <c r="CV5">
        <v>0</v>
      </c>
      <c r="CW5">
        <v>5</v>
      </c>
    </row>
    <row r="6" spans="1:101" x14ac:dyDescent="0.2">
      <c r="A6">
        <v>5</v>
      </c>
      <c r="B6">
        <v>6</v>
      </c>
      <c r="C6">
        <v>6</v>
      </c>
      <c r="D6">
        <v>4</v>
      </c>
      <c r="E6">
        <v>1</v>
      </c>
      <c r="F6">
        <v>1</v>
      </c>
      <c r="G6">
        <v>1</v>
      </c>
      <c r="H6">
        <v>5</v>
      </c>
      <c r="I6">
        <v>2</v>
      </c>
      <c r="J6">
        <v>1</v>
      </c>
      <c r="K6">
        <v>0</v>
      </c>
      <c r="L6">
        <v>0</v>
      </c>
      <c r="M6">
        <v>5</v>
      </c>
      <c r="N6">
        <v>0</v>
      </c>
      <c r="O6">
        <v>5</v>
      </c>
      <c r="P6">
        <v>0</v>
      </c>
      <c r="Q6">
        <v>0</v>
      </c>
      <c r="R6">
        <v>2</v>
      </c>
      <c r="S6">
        <v>2</v>
      </c>
      <c r="T6">
        <v>4</v>
      </c>
      <c r="U6">
        <v>4</v>
      </c>
      <c r="V6">
        <v>3</v>
      </c>
      <c r="W6">
        <v>1</v>
      </c>
      <c r="X6">
        <v>2</v>
      </c>
      <c r="Y6">
        <v>3</v>
      </c>
      <c r="Z6">
        <v>5</v>
      </c>
      <c r="AA6">
        <v>1</v>
      </c>
      <c r="AB6">
        <v>1</v>
      </c>
      <c r="AC6">
        <v>3</v>
      </c>
      <c r="AD6">
        <v>5</v>
      </c>
      <c r="AE6">
        <v>1</v>
      </c>
      <c r="AF6">
        <v>2</v>
      </c>
      <c r="AG6">
        <v>1</v>
      </c>
      <c r="AH6">
        <v>4</v>
      </c>
      <c r="AI6">
        <v>4</v>
      </c>
      <c r="AJ6">
        <v>6</v>
      </c>
      <c r="AK6">
        <v>1</v>
      </c>
      <c r="AL6">
        <v>2</v>
      </c>
      <c r="AM6">
        <v>5</v>
      </c>
      <c r="AN6">
        <v>1</v>
      </c>
      <c r="AO6">
        <v>3</v>
      </c>
      <c r="AP6">
        <v>0</v>
      </c>
      <c r="AQ6">
        <v>0</v>
      </c>
      <c r="AR6">
        <v>2</v>
      </c>
      <c r="AS6">
        <v>0</v>
      </c>
      <c r="AT6">
        <v>2</v>
      </c>
      <c r="AU6">
        <v>1</v>
      </c>
      <c r="AV6">
        <v>6</v>
      </c>
      <c r="AW6">
        <v>2</v>
      </c>
      <c r="AX6">
        <v>0</v>
      </c>
      <c r="AY6">
        <v>6</v>
      </c>
      <c r="AZ6">
        <v>0</v>
      </c>
      <c r="BA6">
        <v>5</v>
      </c>
      <c r="BB6">
        <v>0</v>
      </c>
      <c r="BC6">
        <v>6</v>
      </c>
      <c r="BD6">
        <v>1</v>
      </c>
      <c r="BE6">
        <v>2</v>
      </c>
      <c r="BF6">
        <v>3</v>
      </c>
      <c r="BG6">
        <v>0</v>
      </c>
      <c r="BH6">
        <v>0</v>
      </c>
      <c r="BI6">
        <v>1</v>
      </c>
      <c r="BJ6">
        <v>2</v>
      </c>
      <c r="BK6">
        <v>4</v>
      </c>
      <c r="BL6">
        <v>2</v>
      </c>
      <c r="BM6">
        <v>5</v>
      </c>
      <c r="BN6">
        <v>0</v>
      </c>
      <c r="BO6">
        <v>2</v>
      </c>
      <c r="BP6">
        <v>1</v>
      </c>
      <c r="BQ6">
        <v>5</v>
      </c>
      <c r="BR6">
        <v>1</v>
      </c>
      <c r="BS6">
        <v>3</v>
      </c>
      <c r="BT6">
        <v>0</v>
      </c>
      <c r="BU6">
        <v>0</v>
      </c>
      <c r="BV6">
        <v>1</v>
      </c>
      <c r="BW6">
        <v>6</v>
      </c>
      <c r="BX6">
        <v>1</v>
      </c>
      <c r="BY6">
        <v>3</v>
      </c>
      <c r="BZ6">
        <v>2</v>
      </c>
      <c r="CA6">
        <v>5</v>
      </c>
      <c r="CB6">
        <v>0</v>
      </c>
      <c r="CC6">
        <v>5</v>
      </c>
      <c r="CD6">
        <v>6</v>
      </c>
      <c r="CE6">
        <v>2</v>
      </c>
      <c r="CF6">
        <v>6</v>
      </c>
      <c r="CG6">
        <v>5</v>
      </c>
      <c r="CH6">
        <v>2</v>
      </c>
      <c r="CI6">
        <v>4</v>
      </c>
      <c r="CJ6">
        <v>2</v>
      </c>
      <c r="CK6">
        <v>1</v>
      </c>
      <c r="CL6">
        <v>0</v>
      </c>
      <c r="CM6">
        <v>3</v>
      </c>
      <c r="CN6">
        <v>4</v>
      </c>
      <c r="CO6">
        <v>3</v>
      </c>
      <c r="CP6">
        <v>0</v>
      </c>
      <c r="CQ6">
        <v>0</v>
      </c>
      <c r="CR6">
        <v>1</v>
      </c>
      <c r="CS6">
        <v>1</v>
      </c>
      <c r="CT6">
        <v>4</v>
      </c>
      <c r="CU6">
        <v>0</v>
      </c>
      <c r="CV6">
        <v>0</v>
      </c>
      <c r="CW6">
        <v>5</v>
      </c>
    </row>
    <row r="7" spans="1:101" x14ac:dyDescent="0.2">
      <c r="A7">
        <v>6</v>
      </c>
      <c r="B7">
        <v>5</v>
      </c>
      <c r="C7">
        <v>3</v>
      </c>
      <c r="D7">
        <v>1</v>
      </c>
      <c r="E7">
        <v>2</v>
      </c>
      <c r="F7">
        <v>6</v>
      </c>
      <c r="G7">
        <v>2</v>
      </c>
      <c r="H7">
        <v>4</v>
      </c>
      <c r="I7">
        <v>1</v>
      </c>
      <c r="J7">
        <v>1</v>
      </c>
      <c r="K7">
        <v>2</v>
      </c>
      <c r="L7">
        <v>0</v>
      </c>
      <c r="M7">
        <v>0</v>
      </c>
      <c r="N7">
        <v>0</v>
      </c>
      <c r="O7">
        <v>3</v>
      </c>
      <c r="P7">
        <v>2</v>
      </c>
      <c r="Q7">
        <v>5</v>
      </c>
      <c r="R7">
        <v>3</v>
      </c>
      <c r="S7">
        <v>0</v>
      </c>
      <c r="T7">
        <v>1</v>
      </c>
      <c r="U7">
        <v>1</v>
      </c>
      <c r="V7">
        <v>2</v>
      </c>
      <c r="W7">
        <v>1</v>
      </c>
      <c r="X7">
        <v>6</v>
      </c>
      <c r="Y7">
        <v>3</v>
      </c>
      <c r="Z7">
        <v>0</v>
      </c>
      <c r="AA7">
        <v>1</v>
      </c>
      <c r="AB7">
        <v>4</v>
      </c>
      <c r="AC7">
        <v>4</v>
      </c>
      <c r="AD7">
        <v>0</v>
      </c>
      <c r="AE7">
        <v>4</v>
      </c>
      <c r="AF7">
        <v>6</v>
      </c>
      <c r="AG7">
        <v>0</v>
      </c>
      <c r="AH7">
        <v>6</v>
      </c>
      <c r="AI7">
        <v>0</v>
      </c>
      <c r="AJ7">
        <v>5</v>
      </c>
      <c r="AK7">
        <v>5</v>
      </c>
      <c r="AL7">
        <v>6</v>
      </c>
      <c r="AM7">
        <v>0</v>
      </c>
      <c r="AN7">
        <v>1</v>
      </c>
      <c r="AO7">
        <v>6</v>
      </c>
      <c r="AP7">
        <v>5</v>
      </c>
      <c r="AQ7">
        <v>1</v>
      </c>
      <c r="AR7">
        <v>3</v>
      </c>
      <c r="AS7">
        <v>4</v>
      </c>
      <c r="AT7">
        <v>6</v>
      </c>
      <c r="AU7">
        <v>4</v>
      </c>
      <c r="AV7">
        <v>5</v>
      </c>
      <c r="AW7">
        <v>1</v>
      </c>
      <c r="AX7">
        <v>2</v>
      </c>
      <c r="AY7">
        <v>5</v>
      </c>
      <c r="AZ7">
        <v>0</v>
      </c>
      <c r="BA7">
        <v>0</v>
      </c>
      <c r="BB7">
        <v>4</v>
      </c>
      <c r="BC7">
        <v>2</v>
      </c>
      <c r="BD7">
        <v>2</v>
      </c>
      <c r="BE7">
        <v>5</v>
      </c>
      <c r="BF7">
        <v>5</v>
      </c>
      <c r="BG7">
        <v>6</v>
      </c>
      <c r="BH7">
        <v>3</v>
      </c>
      <c r="BI7">
        <v>1</v>
      </c>
      <c r="BJ7">
        <v>2</v>
      </c>
      <c r="BK7">
        <v>1</v>
      </c>
      <c r="BL7">
        <v>5</v>
      </c>
      <c r="BM7">
        <v>3</v>
      </c>
      <c r="BN7">
        <v>5</v>
      </c>
      <c r="BO7">
        <v>0</v>
      </c>
      <c r="BP7">
        <v>1</v>
      </c>
      <c r="BQ7">
        <v>6</v>
      </c>
      <c r="BR7">
        <v>6</v>
      </c>
      <c r="BS7">
        <v>5</v>
      </c>
      <c r="BT7">
        <v>0</v>
      </c>
      <c r="BU7">
        <v>4</v>
      </c>
      <c r="BV7">
        <v>0</v>
      </c>
      <c r="BW7">
        <v>1</v>
      </c>
      <c r="BX7">
        <v>2</v>
      </c>
      <c r="BY7">
        <v>6</v>
      </c>
      <c r="BZ7">
        <v>1</v>
      </c>
      <c r="CA7">
        <v>0</v>
      </c>
      <c r="CB7">
        <v>6</v>
      </c>
      <c r="CC7">
        <v>2</v>
      </c>
      <c r="CD7">
        <v>1</v>
      </c>
      <c r="CE7">
        <v>6</v>
      </c>
      <c r="CF7">
        <v>5</v>
      </c>
      <c r="CG7">
        <v>2</v>
      </c>
      <c r="CH7">
        <v>0</v>
      </c>
      <c r="CI7">
        <v>6</v>
      </c>
      <c r="CJ7">
        <v>6</v>
      </c>
      <c r="CK7">
        <v>6</v>
      </c>
      <c r="CL7">
        <v>6</v>
      </c>
      <c r="CM7">
        <v>5</v>
      </c>
      <c r="CN7">
        <v>0</v>
      </c>
      <c r="CO7">
        <v>6</v>
      </c>
      <c r="CP7">
        <v>4</v>
      </c>
      <c r="CQ7">
        <v>0</v>
      </c>
      <c r="CR7">
        <v>2</v>
      </c>
      <c r="CS7">
        <v>6</v>
      </c>
      <c r="CT7">
        <v>6</v>
      </c>
      <c r="CU7">
        <v>2</v>
      </c>
      <c r="CV7">
        <v>0</v>
      </c>
      <c r="CW7">
        <v>2</v>
      </c>
    </row>
    <row r="8" spans="1:101" x14ac:dyDescent="0.2">
      <c r="A8">
        <v>7</v>
      </c>
      <c r="B8">
        <v>0</v>
      </c>
      <c r="C8">
        <v>1</v>
      </c>
      <c r="D8">
        <v>4</v>
      </c>
      <c r="E8">
        <v>6</v>
      </c>
      <c r="F8">
        <v>0</v>
      </c>
      <c r="G8">
        <v>0</v>
      </c>
      <c r="H8">
        <v>6</v>
      </c>
      <c r="I8">
        <v>5</v>
      </c>
      <c r="J8">
        <v>0</v>
      </c>
      <c r="K8">
        <v>2</v>
      </c>
      <c r="L8">
        <v>2</v>
      </c>
      <c r="M8">
        <v>4</v>
      </c>
      <c r="N8">
        <v>5</v>
      </c>
      <c r="O8">
        <v>6</v>
      </c>
      <c r="P8">
        <v>1</v>
      </c>
      <c r="Q8">
        <v>0</v>
      </c>
      <c r="R8">
        <v>2</v>
      </c>
      <c r="S8">
        <v>2</v>
      </c>
      <c r="T8">
        <v>0</v>
      </c>
      <c r="U8">
        <v>1</v>
      </c>
      <c r="V8">
        <v>4</v>
      </c>
      <c r="W8">
        <v>5</v>
      </c>
      <c r="X8">
        <v>1</v>
      </c>
      <c r="Y8">
        <v>0</v>
      </c>
      <c r="Z8">
        <v>6</v>
      </c>
      <c r="AA8">
        <v>0</v>
      </c>
      <c r="AB8">
        <v>1</v>
      </c>
      <c r="AC8">
        <v>5</v>
      </c>
      <c r="AD8">
        <v>1</v>
      </c>
      <c r="AE8">
        <v>4</v>
      </c>
      <c r="AF8">
        <v>5</v>
      </c>
      <c r="AG8">
        <v>5</v>
      </c>
      <c r="AH8">
        <v>5</v>
      </c>
      <c r="AI8">
        <v>0</v>
      </c>
      <c r="AJ8">
        <v>2</v>
      </c>
      <c r="AK8">
        <v>5</v>
      </c>
      <c r="AL8">
        <v>6</v>
      </c>
      <c r="AM8">
        <v>0</v>
      </c>
      <c r="AN8">
        <v>1</v>
      </c>
      <c r="AO8">
        <v>1</v>
      </c>
      <c r="AP8">
        <v>3</v>
      </c>
      <c r="AQ8">
        <v>0</v>
      </c>
      <c r="AR8">
        <v>4</v>
      </c>
      <c r="AS8">
        <v>5</v>
      </c>
      <c r="AT8">
        <v>3</v>
      </c>
      <c r="AU8">
        <v>4</v>
      </c>
      <c r="AV8">
        <v>1</v>
      </c>
      <c r="AW8">
        <v>1</v>
      </c>
      <c r="AX8">
        <v>5</v>
      </c>
      <c r="AY8">
        <v>0</v>
      </c>
      <c r="AZ8">
        <v>0</v>
      </c>
      <c r="BA8">
        <v>1</v>
      </c>
      <c r="BB8">
        <v>3</v>
      </c>
      <c r="BC8">
        <v>6</v>
      </c>
      <c r="BD8">
        <v>1</v>
      </c>
      <c r="BE8">
        <v>1</v>
      </c>
      <c r="BF8">
        <v>4</v>
      </c>
      <c r="BG8">
        <v>1</v>
      </c>
      <c r="BH8">
        <v>6</v>
      </c>
      <c r="BI8">
        <v>4</v>
      </c>
      <c r="BJ8">
        <v>5</v>
      </c>
      <c r="BK8">
        <v>3</v>
      </c>
      <c r="BL8">
        <v>5</v>
      </c>
      <c r="BM8">
        <v>6</v>
      </c>
      <c r="BN8">
        <v>2</v>
      </c>
      <c r="BO8">
        <v>6</v>
      </c>
      <c r="BP8">
        <v>3</v>
      </c>
      <c r="BQ8">
        <v>0</v>
      </c>
      <c r="BR8">
        <v>0</v>
      </c>
      <c r="BS8">
        <v>5</v>
      </c>
      <c r="BT8">
        <v>6</v>
      </c>
      <c r="BU8">
        <v>3</v>
      </c>
      <c r="BV8">
        <v>0</v>
      </c>
      <c r="BW8">
        <v>6</v>
      </c>
      <c r="BX8">
        <v>0</v>
      </c>
      <c r="BY8">
        <v>0</v>
      </c>
      <c r="BZ8">
        <v>5</v>
      </c>
      <c r="CA8">
        <v>0</v>
      </c>
      <c r="CB8">
        <v>0</v>
      </c>
      <c r="CC8">
        <v>1</v>
      </c>
      <c r="CD8">
        <v>1</v>
      </c>
      <c r="CE8">
        <v>6</v>
      </c>
      <c r="CF8">
        <v>1</v>
      </c>
      <c r="CG8">
        <v>0</v>
      </c>
      <c r="CH8">
        <v>3</v>
      </c>
      <c r="CI8">
        <v>5</v>
      </c>
      <c r="CJ8">
        <v>0</v>
      </c>
      <c r="CK8">
        <v>4</v>
      </c>
      <c r="CL8">
        <v>5</v>
      </c>
      <c r="CM8">
        <v>6</v>
      </c>
      <c r="CN8">
        <v>0</v>
      </c>
      <c r="CO8">
        <v>5</v>
      </c>
      <c r="CP8">
        <v>5</v>
      </c>
      <c r="CQ8">
        <v>3</v>
      </c>
      <c r="CR8">
        <v>2</v>
      </c>
      <c r="CS8">
        <v>0</v>
      </c>
      <c r="CT8">
        <v>6</v>
      </c>
      <c r="CU8">
        <v>6</v>
      </c>
      <c r="CV8">
        <v>2</v>
      </c>
      <c r="CW8">
        <v>0</v>
      </c>
    </row>
    <row r="9" spans="1:101" x14ac:dyDescent="0.2">
      <c r="A9">
        <v>8</v>
      </c>
      <c r="B9">
        <v>0</v>
      </c>
      <c r="C9">
        <v>0</v>
      </c>
      <c r="D9">
        <v>0</v>
      </c>
      <c r="E9">
        <v>4</v>
      </c>
      <c r="F9">
        <v>5</v>
      </c>
      <c r="G9">
        <v>0</v>
      </c>
      <c r="H9">
        <v>0</v>
      </c>
      <c r="I9">
        <v>2</v>
      </c>
      <c r="J9">
        <v>5</v>
      </c>
      <c r="K9">
        <v>0</v>
      </c>
      <c r="L9">
        <v>0</v>
      </c>
      <c r="M9">
        <v>2</v>
      </c>
      <c r="N9">
        <v>0</v>
      </c>
      <c r="O9">
        <v>0</v>
      </c>
      <c r="P9">
        <v>6</v>
      </c>
      <c r="Q9">
        <v>2</v>
      </c>
      <c r="R9">
        <v>4</v>
      </c>
      <c r="S9">
        <v>6</v>
      </c>
      <c r="T9">
        <v>0</v>
      </c>
      <c r="U9">
        <v>5</v>
      </c>
      <c r="V9">
        <v>2</v>
      </c>
      <c r="W9">
        <v>2</v>
      </c>
      <c r="X9">
        <v>1</v>
      </c>
      <c r="Y9">
        <v>6</v>
      </c>
      <c r="Z9">
        <v>0</v>
      </c>
      <c r="AA9">
        <v>5</v>
      </c>
      <c r="AB9">
        <v>5</v>
      </c>
      <c r="AC9">
        <v>2</v>
      </c>
      <c r="AD9">
        <v>0</v>
      </c>
      <c r="AE9">
        <v>0</v>
      </c>
      <c r="AF9">
        <v>0</v>
      </c>
      <c r="AG9">
        <v>4</v>
      </c>
      <c r="AH9">
        <v>6</v>
      </c>
      <c r="AI9">
        <v>0</v>
      </c>
      <c r="AJ9">
        <v>3</v>
      </c>
      <c r="AK9">
        <v>5</v>
      </c>
      <c r="AL9">
        <v>1</v>
      </c>
      <c r="AM9">
        <v>1</v>
      </c>
      <c r="AN9">
        <v>5</v>
      </c>
      <c r="AO9">
        <v>2</v>
      </c>
      <c r="AP9">
        <v>0</v>
      </c>
      <c r="AQ9">
        <v>5</v>
      </c>
      <c r="AR9">
        <v>1</v>
      </c>
      <c r="AS9">
        <v>2</v>
      </c>
      <c r="AT9">
        <v>0</v>
      </c>
      <c r="AU9">
        <v>6</v>
      </c>
      <c r="AV9">
        <v>3</v>
      </c>
      <c r="AW9">
        <v>2</v>
      </c>
      <c r="AX9">
        <v>5</v>
      </c>
      <c r="AY9">
        <v>0</v>
      </c>
      <c r="AZ9">
        <v>1</v>
      </c>
      <c r="BA9">
        <v>1</v>
      </c>
      <c r="BB9">
        <v>0</v>
      </c>
      <c r="BC9">
        <v>5</v>
      </c>
      <c r="BD9">
        <v>6</v>
      </c>
      <c r="BE9">
        <v>6</v>
      </c>
      <c r="BF9">
        <v>0</v>
      </c>
      <c r="BG9">
        <v>0</v>
      </c>
      <c r="BH9">
        <v>2</v>
      </c>
      <c r="BI9">
        <v>1</v>
      </c>
      <c r="BJ9">
        <v>3</v>
      </c>
      <c r="BK9">
        <v>3</v>
      </c>
      <c r="BL9">
        <v>0</v>
      </c>
      <c r="BM9">
        <v>4</v>
      </c>
      <c r="BN9">
        <v>6</v>
      </c>
      <c r="BO9">
        <v>4</v>
      </c>
      <c r="BP9">
        <v>6</v>
      </c>
      <c r="BQ9">
        <v>2</v>
      </c>
      <c r="BR9">
        <v>5</v>
      </c>
      <c r="BS9">
        <v>0</v>
      </c>
      <c r="BT9">
        <v>1</v>
      </c>
      <c r="BU9">
        <v>0</v>
      </c>
      <c r="BV9">
        <v>2</v>
      </c>
      <c r="BW9">
        <v>6</v>
      </c>
      <c r="BX9">
        <v>3</v>
      </c>
      <c r="BY9">
        <v>2</v>
      </c>
      <c r="BZ9">
        <v>0</v>
      </c>
      <c r="CA9">
        <v>5</v>
      </c>
      <c r="CB9">
        <v>3</v>
      </c>
      <c r="CC9">
        <v>1</v>
      </c>
      <c r="CD9">
        <v>0</v>
      </c>
      <c r="CE9">
        <v>4</v>
      </c>
      <c r="CF9">
        <v>0</v>
      </c>
      <c r="CG9">
        <v>3</v>
      </c>
      <c r="CH9">
        <v>1</v>
      </c>
      <c r="CI9">
        <v>5</v>
      </c>
      <c r="CJ9">
        <v>0</v>
      </c>
      <c r="CK9">
        <v>4</v>
      </c>
      <c r="CL9">
        <v>0</v>
      </c>
      <c r="CM9">
        <v>3</v>
      </c>
      <c r="CN9">
        <v>3</v>
      </c>
      <c r="CO9">
        <v>0</v>
      </c>
      <c r="CP9">
        <v>6</v>
      </c>
      <c r="CQ9">
        <v>4</v>
      </c>
      <c r="CR9">
        <v>4</v>
      </c>
      <c r="CS9">
        <v>1</v>
      </c>
      <c r="CT9">
        <v>3</v>
      </c>
      <c r="CU9">
        <v>3</v>
      </c>
      <c r="CV9">
        <v>3</v>
      </c>
      <c r="CW9">
        <v>1</v>
      </c>
    </row>
    <row r="10" spans="1:101" x14ac:dyDescent="0.2">
      <c r="A10">
        <v>9</v>
      </c>
      <c r="B10">
        <v>3</v>
      </c>
      <c r="C10">
        <v>0</v>
      </c>
      <c r="D10">
        <v>2</v>
      </c>
      <c r="E10">
        <v>5</v>
      </c>
      <c r="F10">
        <v>2</v>
      </c>
      <c r="G10">
        <v>1</v>
      </c>
      <c r="H10">
        <v>1</v>
      </c>
      <c r="I10">
        <v>0</v>
      </c>
      <c r="J10">
        <v>4</v>
      </c>
      <c r="K10">
        <v>0</v>
      </c>
      <c r="L10">
        <v>3</v>
      </c>
      <c r="M10">
        <v>5</v>
      </c>
      <c r="N10">
        <v>4</v>
      </c>
      <c r="O10">
        <v>0</v>
      </c>
      <c r="P10">
        <v>5</v>
      </c>
      <c r="Q10">
        <v>1</v>
      </c>
      <c r="R10">
        <v>1</v>
      </c>
      <c r="S10">
        <v>0</v>
      </c>
      <c r="T10">
        <v>3</v>
      </c>
      <c r="U10">
        <v>2</v>
      </c>
      <c r="V10">
        <v>5</v>
      </c>
      <c r="W10">
        <v>6</v>
      </c>
      <c r="X10">
        <v>2</v>
      </c>
      <c r="Y10">
        <v>2</v>
      </c>
      <c r="Z10">
        <v>2</v>
      </c>
      <c r="AA10">
        <v>1</v>
      </c>
      <c r="AB10">
        <v>6</v>
      </c>
      <c r="AC10">
        <v>4</v>
      </c>
      <c r="AD10">
        <v>3</v>
      </c>
      <c r="AE10">
        <v>6</v>
      </c>
      <c r="AF10">
        <v>2</v>
      </c>
      <c r="AG10">
        <v>0</v>
      </c>
      <c r="AH10">
        <v>1</v>
      </c>
      <c r="AI10">
        <v>1</v>
      </c>
      <c r="AJ10">
        <v>1</v>
      </c>
      <c r="AK10">
        <v>4</v>
      </c>
      <c r="AL10">
        <v>4</v>
      </c>
      <c r="AM10">
        <v>3</v>
      </c>
      <c r="AN10">
        <v>5</v>
      </c>
      <c r="AO10">
        <v>0</v>
      </c>
      <c r="AP10">
        <v>0</v>
      </c>
      <c r="AQ10">
        <v>4</v>
      </c>
      <c r="AR10">
        <v>4</v>
      </c>
      <c r="AS10">
        <v>3</v>
      </c>
      <c r="AT10">
        <v>4</v>
      </c>
      <c r="AU10">
        <v>6</v>
      </c>
      <c r="AV10">
        <v>0</v>
      </c>
      <c r="AW10">
        <v>1</v>
      </c>
      <c r="AX10">
        <v>6</v>
      </c>
      <c r="AY10">
        <v>1</v>
      </c>
      <c r="AZ10">
        <v>1</v>
      </c>
      <c r="BA10">
        <v>5</v>
      </c>
      <c r="BB10">
        <v>4</v>
      </c>
      <c r="BC10">
        <v>3</v>
      </c>
      <c r="BD10">
        <v>1</v>
      </c>
      <c r="BE10">
        <v>4</v>
      </c>
      <c r="BF10">
        <v>4</v>
      </c>
      <c r="BG10">
        <v>5</v>
      </c>
      <c r="BH10">
        <v>6</v>
      </c>
      <c r="BI10">
        <v>5</v>
      </c>
      <c r="BJ10">
        <v>2</v>
      </c>
      <c r="BK10">
        <v>1</v>
      </c>
      <c r="BL10">
        <v>3</v>
      </c>
      <c r="BM10">
        <v>5</v>
      </c>
      <c r="BN10">
        <v>0</v>
      </c>
      <c r="BO10">
        <v>3</v>
      </c>
      <c r="BP10">
        <v>3</v>
      </c>
      <c r="BQ10">
        <v>6</v>
      </c>
      <c r="BR10">
        <v>3</v>
      </c>
      <c r="BS10">
        <v>1</v>
      </c>
      <c r="BT10">
        <v>4</v>
      </c>
      <c r="BU10">
        <v>5</v>
      </c>
      <c r="BV10">
        <v>2</v>
      </c>
      <c r="BW10">
        <v>2</v>
      </c>
      <c r="BX10">
        <v>2</v>
      </c>
      <c r="BY10">
        <v>3</v>
      </c>
      <c r="BZ10">
        <v>3</v>
      </c>
      <c r="CA10">
        <v>0</v>
      </c>
      <c r="CB10">
        <v>6</v>
      </c>
      <c r="CC10">
        <v>6</v>
      </c>
      <c r="CD10">
        <v>5</v>
      </c>
      <c r="CE10">
        <v>6</v>
      </c>
      <c r="CF10">
        <v>5</v>
      </c>
      <c r="CG10">
        <v>4</v>
      </c>
      <c r="CH10">
        <v>6</v>
      </c>
      <c r="CI10">
        <v>6</v>
      </c>
      <c r="CJ10">
        <v>5</v>
      </c>
      <c r="CK10">
        <v>5</v>
      </c>
      <c r="CL10">
        <v>3</v>
      </c>
      <c r="CM10">
        <v>5</v>
      </c>
      <c r="CN10">
        <v>3</v>
      </c>
      <c r="CO10">
        <v>5</v>
      </c>
      <c r="CP10">
        <v>2</v>
      </c>
      <c r="CQ10">
        <v>2</v>
      </c>
      <c r="CR10">
        <v>5</v>
      </c>
      <c r="CS10">
        <v>5</v>
      </c>
      <c r="CT10">
        <v>0</v>
      </c>
      <c r="CU10">
        <v>4</v>
      </c>
      <c r="CV10">
        <v>3</v>
      </c>
      <c r="CW10">
        <v>3</v>
      </c>
    </row>
    <row r="11" spans="1:101" x14ac:dyDescent="0.2">
      <c r="A11">
        <v>10</v>
      </c>
      <c r="B11">
        <v>2</v>
      </c>
      <c r="C11">
        <v>5</v>
      </c>
      <c r="D11">
        <v>0</v>
      </c>
      <c r="E11">
        <v>0</v>
      </c>
      <c r="F11">
        <v>0</v>
      </c>
      <c r="G11">
        <v>2</v>
      </c>
      <c r="H11">
        <v>1</v>
      </c>
      <c r="I11">
        <v>4</v>
      </c>
      <c r="J11">
        <v>0</v>
      </c>
      <c r="K11">
        <v>4</v>
      </c>
      <c r="L11">
        <v>4</v>
      </c>
      <c r="M11">
        <v>1</v>
      </c>
      <c r="N11">
        <v>2</v>
      </c>
      <c r="O11">
        <v>2</v>
      </c>
      <c r="P11">
        <v>0</v>
      </c>
      <c r="Q11">
        <v>5</v>
      </c>
      <c r="R11">
        <v>6</v>
      </c>
      <c r="S11">
        <v>1</v>
      </c>
      <c r="T11">
        <v>4</v>
      </c>
      <c r="U11">
        <v>3</v>
      </c>
      <c r="V11">
        <v>0</v>
      </c>
      <c r="W11">
        <v>1</v>
      </c>
      <c r="X11">
        <v>2</v>
      </c>
      <c r="Y11">
        <v>2</v>
      </c>
      <c r="Z11">
        <v>2</v>
      </c>
      <c r="AA11">
        <v>0</v>
      </c>
      <c r="AB11">
        <v>2</v>
      </c>
      <c r="AC11">
        <v>6</v>
      </c>
      <c r="AD11">
        <v>6</v>
      </c>
      <c r="AE11">
        <v>1</v>
      </c>
      <c r="AF11">
        <v>4</v>
      </c>
      <c r="AG11">
        <v>6</v>
      </c>
      <c r="AH11">
        <v>5</v>
      </c>
      <c r="AI11">
        <v>3</v>
      </c>
      <c r="AJ11">
        <v>4</v>
      </c>
      <c r="AK11">
        <v>3</v>
      </c>
      <c r="AL11">
        <v>5</v>
      </c>
      <c r="AM11">
        <v>0</v>
      </c>
      <c r="AN11">
        <v>2</v>
      </c>
      <c r="AO11">
        <v>1</v>
      </c>
      <c r="AP11">
        <v>2</v>
      </c>
      <c r="AQ11">
        <v>6</v>
      </c>
      <c r="AR11">
        <v>3</v>
      </c>
      <c r="AS11">
        <v>2</v>
      </c>
      <c r="AT11">
        <v>1</v>
      </c>
      <c r="AU11">
        <v>2</v>
      </c>
      <c r="AV11">
        <v>2</v>
      </c>
      <c r="AW11">
        <v>0</v>
      </c>
      <c r="AX11">
        <v>1</v>
      </c>
      <c r="AY11">
        <v>0</v>
      </c>
      <c r="AZ11">
        <v>3</v>
      </c>
      <c r="BA11">
        <v>0</v>
      </c>
      <c r="BB11">
        <v>5</v>
      </c>
      <c r="BC11">
        <v>2</v>
      </c>
      <c r="BD11">
        <v>5</v>
      </c>
      <c r="BE11">
        <v>4</v>
      </c>
      <c r="BF11">
        <v>0</v>
      </c>
      <c r="BG11">
        <v>3</v>
      </c>
      <c r="BH11">
        <v>4</v>
      </c>
      <c r="BI11">
        <v>1</v>
      </c>
      <c r="BJ11">
        <v>3</v>
      </c>
      <c r="BK11">
        <v>4</v>
      </c>
      <c r="BL11">
        <v>2</v>
      </c>
      <c r="BM11">
        <v>6</v>
      </c>
      <c r="BN11">
        <v>6</v>
      </c>
      <c r="BO11">
        <v>5</v>
      </c>
      <c r="BP11">
        <v>2</v>
      </c>
      <c r="BQ11">
        <v>5</v>
      </c>
      <c r="BR11">
        <v>0</v>
      </c>
      <c r="BS11">
        <v>0</v>
      </c>
      <c r="BT11">
        <v>0</v>
      </c>
      <c r="BU11">
        <v>0</v>
      </c>
      <c r="BV11">
        <v>2</v>
      </c>
      <c r="BW11">
        <v>0</v>
      </c>
      <c r="BX11">
        <v>5</v>
      </c>
      <c r="BY11">
        <v>6</v>
      </c>
      <c r="BZ11">
        <v>4</v>
      </c>
      <c r="CA11">
        <v>0</v>
      </c>
      <c r="CB11">
        <v>1</v>
      </c>
      <c r="CC11">
        <v>2</v>
      </c>
      <c r="CD11">
        <v>0</v>
      </c>
      <c r="CE11">
        <v>2</v>
      </c>
      <c r="CF11">
        <v>6</v>
      </c>
      <c r="CG11">
        <v>6</v>
      </c>
      <c r="CH11">
        <v>3</v>
      </c>
      <c r="CI11">
        <v>6</v>
      </c>
      <c r="CJ11">
        <v>2</v>
      </c>
      <c r="CK11">
        <v>1</v>
      </c>
      <c r="CL11">
        <v>6</v>
      </c>
      <c r="CM11">
        <v>0</v>
      </c>
      <c r="CN11">
        <v>0</v>
      </c>
      <c r="CO11">
        <v>3</v>
      </c>
      <c r="CP11">
        <v>5</v>
      </c>
      <c r="CQ11">
        <v>1</v>
      </c>
      <c r="CR11">
        <v>6</v>
      </c>
      <c r="CS11">
        <v>3</v>
      </c>
      <c r="CT11">
        <v>1</v>
      </c>
      <c r="CU11">
        <v>4</v>
      </c>
      <c r="CV11">
        <v>0</v>
      </c>
      <c r="CW11">
        <v>0</v>
      </c>
    </row>
    <row r="12" spans="1:101" x14ac:dyDescent="0.2">
      <c r="A12">
        <v>11</v>
      </c>
      <c r="B12">
        <v>1</v>
      </c>
      <c r="C12">
        <v>1</v>
      </c>
      <c r="D12">
        <v>2</v>
      </c>
      <c r="E12">
        <v>2</v>
      </c>
      <c r="F12">
        <v>2</v>
      </c>
      <c r="G12">
        <v>6</v>
      </c>
      <c r="H12">
        <v>2</v>
      </c>
      <c r="I12">
        <v>5</v>
      </c>
      <c r="J12">
        <v>2</v>
      </c>
      <c r="K12">
        <v>5</v>
      </c>
      <c r="L12">
        <v>2</v>
      </c>
      <c r="M12">
        <v>3</v>
      </c>
      <c r="N12">
        <v>2</v>
      </c>
      <c r="O12">
        <v>1</v>
      </c>
      <c r="P12">
        <v>2</v>
      </c>
      <c r="Q12">
        <v>2</v>
      </c>
      <c r="R12">
        <v>5</v>
      </c>
      <c r="S12">
        <v>4</v>
      </c>
      <c r="T12">
        <v>1</v>
      </c>
      <c r="U12">
        <v>6</v>
      </c>
      <c r="V12">
        <v>3</v>
      </c>
      <c r="W12">
        <v>3</v>
      </c>
      <c r="X12">
        <v>1</v>
      </c>
      <c r="Y12">
        <v>1</v>
      </c>
      <c r="Z12">
        <v>5</v>
      </c>
      <c r="AA12">
        <v>1</v>
      </c>
      <c r="AB12">
        <v>3</v>
      </c>
      <c r="AC12">
        <v>0</v>
      </c>
      <c r="AD12">
        <v>1</v>
      </c>
      <c r="AE12">
        <v>1</v>
      </c>
      <c r="AF12">
        <v>1</v>
      </c>
      <c r="AG12">
        <v>4</v>
      </c>
      <c r="AH12">
        <v>0</v>
      </c>
      <c r="AI12">
        <v>3</v>
      </c>
      <c r="AJ12">
        <v>6</v>
      </c>
      <c r="AK12">
        <v>6</v>
      </c>
      <c r="AL12">
        <v>5</v>
      </c>
      <c r="AM12">
        <v>4</v>
      </c>
      <c r="AN12">
        <v>4</v>
      </c>
      <c r="AO12">
        <v>2</v>
      </c>
      <c r="AP12">
        <v>4</v>
      </c>
      <c r="AQ12">
        <v>0</v>
      </c>
      <c r="AR12">
        <v>2</v>
      </c>
      <c r="AS12">
        <v>0</v>
      </c>
      <c r="AT12">
        <v>4</v>
      </c>
      <c r="AU12">
        <v>0</v>
      </c>
      <c r="AV12">
        <v>2</v>
      </c>
      <c r="AW12">
        <v>5</v>
      </c>
      <c r="AX12">
        <v>2</v>
      </c>
      <c r="AY12">
        <v>0</v>
      </c>
      <c r="AZ12">
        <v>3</v>
      </c>
      <c r="BA12">
        <v>2</v>
      </c>
      <c r="BB12">
        <v>0</v>
      </c>
      <c r="BC12">
        <v>0</v>
      </c>
      <c r="BD12">
        <v>6</v>
      </c>
      <c r="BE12">
        <v>6</v>
      </c>
      <c r="BF12">
        <v>2</v>
      </c>
      <c r="BG12">
        <v>5</v>
      </c>
      <c r="BH12">
        <v>6</v>
      </c>
      <c r="BI12">
        <v>2</v>
      </c>
      <c r="BJ12">
        <v>2</v>
      </c>
      <c r="BK12">
        <v>2</v>
      </c>
      <c r="BL12">
        <v>5</v>
      </c>
      <c r="BM12">
        <v>3</v>
      </c>
      <c r="BN12">
        <v>4</v>
      </c>
      <c r="BO12">
        <v>6</v>
      </c>
      <c r="BP12">
        <v>2</v>
      </c>
      <c r="BQ12">
        <v>3</v>
      </c>
      <c r="BR12">
        <v>4</v>
      </c>
      <c r="BS12">
        <v>2</v>
      </c>
      <c r="BT12">
        <v>2</v>
      </c>
      <c r="BU12">
        <v>3</v>
      </c>
      <c r="BV12">
        <v>4</v>
      </c>
      <c r="BW12">
        <v>4</v>
      </c>
      <c r="BX12">
        <v>4</v>
      </c>
      <c r="BY12">
        <v>5</v>
      </c>
      <c r="BZ12">
        <v>1</v>
      </c>
      <c r="CA12">
        <v>3</v>
      </c>
      <c r="CB12">
        <v>6</v>
      </c>
      <c r="CC12">
        <v>0</v>
      </c>
      <c r="CD12">
        <v>5</v>
      </c>
      <c r="CE12">
        <v>5</v>
      </c>
      <c r="CF12">
        <v>6</v>
      </c>
      <c r="CG12">
        <v>1</v>
      </c>
      <c r="CH12">
        <v>0</v>
      </c>
      <c r="CI12">
        <v>2</v>
      </c>
      <c r="CJ12">
        <v>1</v>
      </c>
      <c r="CK12">
        <v>2</v>
      </c>
      <c r="CL12">
        <v>2</v>
      </c>
      <c r="CM12">
        <v>0</v>
      </c>
      <c r="CN12">
        <v>0</v>
      </c>
      <c r="CO12">
        <v>3</v>
      </c>
      <c r="CP12">
        <v>5</v>
      </c>
      <c r="CQ12">
        <v>4</v>
      </c>
      <c r="CR12">
        <v>1</v>
      </c>
      <c r="CS12">
        <v>1</v>
      </c>
      <c r="CT12">
        <v>3</v>
      </c>
      <c r="CU12">
        <v>0</v>
      </c>
      <c r="CV12">
        <v>0</v>
      </c>
      <c r="CW12">
        <v>5</v>
      </c>
    </row>
    <row r="13" spans="1:101" x14ac:dyDescent="0.2">
      <c r="A13">
        <v>12</v>
      </c>
      <c r="B13">
        <v>2</v>
      </c>
      <c r="C13">
        <v>0</v>
      </c>
      <c r="D13">
        <v>1</v>
      </c>
      <c r="E13">
        <v>0</v>
      </c>
      <c r="F13">
        <v>0</v>
      </c>
      <c r="G13">
        <v>1</v>
      </c>
      <c r="H13">
        <v>0</v>
      </c>
      <c r="I13">
        <v>0</v>
      </c>
      <c r="J13">
        <v>0</v>
      </c>
      <c r="K13">
        <v>0</v>
      </c>
      <c r="L13">
        <v>0</v>
      </c>
      <c r="M13">
        <v>0</v>
      </c>
      <c r="N13">
        <v>0</v>
      </c>
      <c r="O13">
        <v>0</v>
      </c>
      <c r="P13">
        <v>0</v>
      </c>
      <c r="Q13">
        <v>0</v>
      </c>
      <c r="R13">
        <v>0</v>
      </c>
      <c r="S13">
        <v>0</v>
      </c>
      <c r="T13">
        <v>0</v>
      </c>
      <c r="U13">
        <v>0</v>
      </c>
      <c r="V13">
        <v>0</v>
      </c>
      <c r="W13">
        <v>0</v>
      </c>
      <c r="X13">
        <v>0</v>
      </c>
      <c r="Y13">
        <v>1</v>
      </c>
      <c r="Z13">
        <v>0</v>
      </c>
      <c r="AA13">
        <v>0</v>
      </c>
      <c r="AB13">
        <v>0</v>
      </c>
      <c r="AC13">
        <v>0</v>
      </c>
      <c r="AD13">
        <v>1</v>
      </c>
      <c r="AE13">
        <v>0</v>
      </c>
      <c r="AF13">
        <v>1</v>
      </c>
      <c r="AG13">
        <v>0</v>
      </c>
      <c r="AH13">
        <v>1</v>
      </c>
      <c r="AI13">
        <v>0</v>
      </c>
      <c r="AJ13">
        <v>0</v>
      </c>
      <c r="AK13">
        <v>1</v>
      </c>
      <c r="AL13">
        <v>1</v>
      </c>
      <c r="AM13">
        <v>0</v>
      </c>
      <c r="AN13">
        <v>0</v>
      </c>
      <c r="AO13">
        <v>0</v>
      </c>
      <c r="AP13">
        <v>0</v>
      </c>
      <c r="AQ13">
        <v>0</v>
      </c>
      <c r="AR13">
        <v>0</v>
      </c>
      <c r="AS13">
        <v>0</v>
      </c>
      <c r="AT13">
        <v>2</v>
      </c>
      <c r="AU13">
        <v>1</v>
      </c>
      <c r="AV13">
        <v>1</v>
      </c>
      <c r="AW13">
        <v>0</v>
      </c>
      <c r="AX13">
        <v>0</v>
      </c>
      <c r="AY13">
        <v>0</v>
      </c>
      <c r="AZ13">
        <v>0</v>
      </c>
      <c r="BA13">
        <v>0</v>
      </c>
      <c r="BB13">
        <v>0</v>
      </c>
      <c r="BC13">
        <v>0</v>
      </c>
      <c r="BD13">
        <v>1</v>
      </c>
      <c r="BE13">
        <v>0</v>
      </c>
      <c r="BF13">
        <v>0</v>
      </c>
      <c r="BG13">
        <v>0</v>
      </c>
      <c r="BH13">
        <v>0</v>
      </c>
      <c r="BI13">
        <v>0</v>
      </c>
      <c r="BJ13">
        <v>1</v>
      </c>
      <c r="BK13">
        <v>1</v>
      </c>
      <c r="BL13">
        <v>0</v>
      </c>
      <c r="BM13">
        <v>0</v>
      </c>
      <c r="BN13">
        <v>0</v>
      </c>
      <c r="BO13">
        <v>1</v>
      </c>
      <c r="BP13">
        <v>1</v>
      </c>
      <c r="BQ13">
        <v>1</v>
      </c>
      <c r="BR13">
        <v>0</v>
      </c>
      <c r="BS13">
        <v>0</v>
      </c>
      <c r="BT13">
        <v>0</v>
      </c>
      <c r="BU13">
        <v>1</v>
      </c>
      <c r="BV13">
        <v>0</v>
      </c>
      <c r="BW13">
        <v>0</v>
      </c>
      <c r="BX13">
        <v>0</v>
      </c>
      <c r="BY13">
        <v>0</v>
      </c>
      <c r="BZ13">
        <v>1</v>
      </c>
      <c r="CA13">
        <v>0</v>
      </c>
      <c r="CB13">
        <v>0</v>
      </c>
      <c r="CC13">
        <v>0</v>
      </c>
      <c r="CD13">
        <v>0</v>
      </c>
      <c r="CE13">
        <v>0</v>
      </c>
      <c r="CF13">
        <v>0</v>
      </c>
      <c r="CG13">
        <v>0</v>
      </c>
      <c r="CH13">
        <v>0</v>
      </c>
      <c r="CI13">
        <v>0</v>
      </c>
      <c r="CJ13">
        <v>0</v>
      </c>
      <c r="CK13">
        <v>1</v>
      </c>
      <c r="CL13">
        <v>1</v>
      </c>
      <c r="CM13">
        <v>0</v>
      </c>
      <c r="CN13">
        <v>0</v>
      </c>
      <c r="CO13">
        <v>0</v>
      </c>
      <c r="CP13">
        <v>0</v>
      </c>
      <c r="CQ13">
        <v>1</v>
      </c>
      <c r="CR13">
        <v>0</v>
      </c>
      <c r="CS13">
        <v>0</v>
      </c>
      <c r="CT13">
        <v>1</v>
      </c>
      <c r="CU13">
        <v>0</v>
      </c>
      <c r="CV13">
        <v>0</v>
      </c>
      <c r="CW13">
        <v>1</v>
      </c>
    </row>
    <row r="14" spans="1:101" x14ac:dyDescent="0.2">
      <c r="A14" t="s">
        <v>158</v>
      </c>
      <c r="B14">
        <v>1</v>
      </c>
      <c r="C14">
        <v>2</v>
      </c>
      <c r="D14">
        <v>3</v>
      </c>
      <c r="E14">
        <v>4</v>
      </c>
      <c r="F14">
        <v>5</v>
      </c>
      <c r="G14">
        <v>6</v>
      </c>
      <c r="H14">
        <v>7</v>
      </c>
      <c r="I14">
        <v>8</v>
      </c>
      <c r="J14">
        <v>9</v>
      </c>
      <c r="K14">
        <v>10</v>
      </c>
      <c r="L14">
        <v>11</v>
      </c>
      <c r="M14">
        <v>12</v>
      </c>
      <c r="N14">
        <v>13</v>
      </c>
      <c r="O14">
        <v>14</v>
      </c>
      <c r="P14">
        <v>15</v>
      </c>
      <c r="Q14">
        <v>16</v>
      </c>
      <c r="R14">
        <v>17</v>
      </c>
      <c r="S14">
        <v>18</v>
      </c>
      <c r="T14">
        <v>19</v>
      </c>
      <c r="U14">
        <v>20</v>
      </c>
      <c r="V14">
        <v>21</v>
      </c>
      <c r="W14">
        <v>22</v>
      </c>
      <c r="X14">
        <v>23</v>
      </c>
      <c r="Y14">
        <v>24</v>
      </c>
      <c r="Z14">
        <v>25</v>
      </c>
      <c r="AA14">
        <v>26</v>
      </c>
      <c r="AB14">
        <v>27</v>
      </c>
      <c r="AC14">
        <v>28</v>
      </c>
      <c r="AD14">
        <v>29</v>
      </c>
      <c r="AE14">
        <v>30</v>
      </c>
      <c r="AF14">
        <v>31</v>
      </c>
      <c r="AG14">
        <v>32</v>
      </c>
      <c r="AH14">
        <v>33</v>
      </c>
      <c r="AI14">
        <v>34</v>
      </c>
      <c r="AJ14">
        <v>35</v>
      </c>
      <c r="AK14">
        <v>36</v>
      </c>
      <c r="AL14">
        <v>37</v>
      </c>
      <c r="AM14">
        <v>38</v>
      </c>
      <c r="AN14">
        <v>39</v>
      </c>
      <c r="AO14">
        <v>40</v>
      </c>
      <c r="AP14">
        <v>41</v>
      </c>
      <c r="AQ14">
        <v>42</v>
      </c>
      <c r="AR14">
        <v>43</v>
      </c>
      <c r="AS14">
        <v>44</v>
      </c>
      <c r="AT14">
        <v>45</v>
      </c>
      <c r="AU14">
        <v>46</v>
      </c>
      <c r="AV14">
        <v>47</v>
      </c>
      <c r="AW14">
        <v>48</v>
      </c>
      <c r="AX14">
        <v>49</v>
      </c>
      <c r="AY14">
        <v>50</v>
      </c>
      <c r="AZ14">
        <v>51</v>
      </c>
      <c r="BA14">
        <v>52</v>
      </c>
      <c r="BB14">
        <v>53</v>
      </c>
      <c r="BC14">
        <v>54</v>
      </c>
      <c r="BD14">
        <v>55</v>
      </c>
      <c r="BE14">
        <v>56</v>
      </c>
      <c r="BF14">
        <v>57</v>
      </c>
      <c r="BG14">
        <v>58</v>
      </c>
      <c r="BH14">
        <v>59</v>
      </c>
      <c r="BI14">
        <v>60</v>
      </c>
      <c r="BJ14">
        <v>61</v>
      </c>
      <c r="BK14">
        <v>62</v>
      </c>
      <c r="BL14">
        <v>63</v>
      </c>
      <c r="BM14">
        <v>64</v>
      </c>
      <c r="BN14">
        <v>65</v>
      </c>
      <c r="BO14">
        <v>66</v>
      </c>
      <c r="BP14">
        <v>67</v>
      </c>
      <c r="BQ14">
        <v>68</v>
      </c>
      <c r="BR14">
        <v>69</v>
      </c>
      <c r="BS14">
        <v>70</v>
      </c>
      <c r="BT14">
        <v>71</v>
      </c>
      <c r="BU14">
        <v>72</v>
      </c>
      <c r="BV14">
        <v>73</v>
      </c>
      <c r="BW14">
        <v>74</v>
      </c>
      <c r="BX14">
        <v>75</v>
      </c>
      <c r="BY14">
        <v>76</v>
      </c>
      <c r="BZ14">
        <v>77</v>
      </c>
      <c r="CA14">
        <v>78</v>
      </c>
      <c r="CB14">
        <v>79</v>
      </c>
      <c r="CC14">
        <v>80</v>
      </c>
      <c r="CD14">
        <v>81</v>
      </c>
      <c r="CE14">
        <v>82</v>
      </c>
      <c r="CF14">
        <v>83</v>
      </c>
      <c r="CG14">
        <v>84</v>
      </c>
      <c r="CH14">
        <v>85</v>
      </c>
      <c r="CI14">
        <v>86</v>
      </c>
      <c r="CJ14">
        <v>87</v>
      </c>
      <c r="CK14">
        <v>88</v>
      </c>
      <c r="CL14">
        <v>89</v>
      </c>
      <c r="CM14">
        <v>90</v>
      </c>
      <c r="CN14">
        <v>91</v>
      </c>
      <c r="CO14">
        <v>92</v>
      </c>
      <c r="CP14">
        <v>93</v>
      </c>
      <c r="CQ14">
        <v>94</v>
      </c>
      <c r="CR14">
        <v>95</v>
      </c>
      <c r="CS14">
        <v>96</v>
      </c>
      <c r="CT14">
        <v>97</v>
      </c>
      <c r="CU14">
        <v>98</v>
      </c>
      <c r="CV14">
        <v>99</v>
      </c>
      <c r="CW14">
        <v>100</v>
      </c>
    </row>
    <row r="15" spans="1:101" x14ac:dyDescent="0.2">
      <c r="A15" t="s">
        <v>159</v>
      </c>
      <c r="B15">
        <v>3.4166666666666665</v>
      </c>
      <c r="C15">
        <v>4.166666666666667</v>
      </c>
      <c r="D15">
        <v>22.416666666666668</v>
      </c>
      <c r="E15">
        <v>23.166666666666668</v>
      </c>
      <c r="F15">
        <v>23.166666666666668</v>
      </c>
      <c r="G15">
        <v>23.25</v>
      </c>
      <c r="H15">
        <v>23.333333333333332</v>
      </c>
      <c r="I15">
        <v>23.583333333333332</v>
      </c>
      <c r="J15">
        <v>23.583333333333332</v>
      </c>
      <c r="K15">
        <v>23.75</v>
      </c>
      <c r="L15">
        <v>23.75</v>
      </c>
      <c r="M15">
        <v>23.833333333333332</v>
      </c>
      <c r="N15">
        <v>23.916666666666668</v>
      </c>
      <c r="O15">
        <v>23.916666666666668</v>
      </c>
      <c r="P15">
        <v>24</v>
      </c>
      <c r="Q15">
        <v>24.166666666666668</v>
      </c>
      <c r="R15">
        <v>24.666666666666668</v>
      </c>
      <c r="S15">
        <v>24.916666666666668</v>
      </c>
      <c r="T15">
        <v>42.666666666666664</v>
      </c>
      <c r="U15">
        <v>42.666666666666664</v>
      </c>
      <c r="V15">
        <v>42.666666666666664</v>
      </c>
      <c r="W15">
        <v>42.75</v>
      </c>
      <c r="X15">
        <v>42.75</v>
      </c>
      <c r="Y15">
        <v>42.833333333333336</v>
      </c>
      <c r="Z15">
        <v>42.833333333333336</v>
      </c>
      <c r="AA15">
        <v>43.25</v>
      </c>
      <c r="AB15">
        <v>43.333333333333336</v>
      </c>
      <c r="AC15">
        <v>43.5</v>
      </c>
      <c r="AD15">
        <v>43.5</v>
      </c>
      <c r="AE15">
        <v>43.5</v>
      </c>
      <c r="AF15">
        <v>43.5</v>
      </c>
      <c r="AG15">
        <v>43.75</v>
      </c>
      <c r="AH15">
        <v>43.75</v>
      </c>
      <c r="AI15">
        <v>43.916666666666664</v>
      </c>
      <c r="AJ15">
        <v>44.166666666666664</v>
      </c>
      <c r="AK15">
        <v>44.416666666666664</v>
      </c>
      <c r="AL15">
        <v>62.666666666666664</v>
      </c>
      <c r="AM15">
        <v>62.916666666666664</v>
      </c>
      <c r="AN15">
        <v>62.916666666666664</v>
      </c>
      <c r="AO15">
        <v>63.166666666666664</v>
      </c>
      <c r="AP15">
        <v>63.416666666666664</v>
      </c>
      <c r="AQ15">
        <v>63.416666666666664</v>
      </c>
      <c r="AR15">
        <v>63.416666666666664</v>
      </c>
      <c r="AS15">
        <v>63.5</v>
      </c>
      <c r="AT15">
        <v>63.5</v>
      </c>
      <c r="AU15">
        <v>63.583333333333336</v>
      </c>
      <c r="AV15">
        <v>63.583333333333336</v>
      </c>
      <c r="AW15">
        <v>63.583333333333336</v>
      </c>
      <c r="AX15">
        <v>63.75</v>
      </c>
      <c r="AY15">
        <v>63.916666666666664</v>
      </c>
      <c r="AZ15">
        <v>64</v>
      </c>
      <c r="BA15">
        <v>64.166666666666671</v>
      </c>
      <c r="BB15">
        <v>64.25</v>
      </c>
      <c r="BC15">
        <v>64.25</v>
      </c>
      <c r="BD15">
        <v>64.333333333333329</v>
      </c>
      <c r="BE15">
        <v>64.416666666666671</v>
      </c>
      <c r="BF15">
        <v>64.5</v>
      </c>
      <c r="BG15">
        <v>64.5</v>
      </c>
      <c r="BH15">
        <v>64.666666666666671</v>
      </c>
      <c r="BI15">
        <v>64.916666666666671</v>
      </c>
      <c r="BJ15">
        <v>82.833333333333329</v>
      </c>
      <c r="BK15">
        <v>82.916666666666671</v>
      </c>
      <c r="BL15">
        <v>83</v>
      </c>
      <c r="BM15">
        <v>83.25</v>
      </c>
      <c r="BN15">
        <v>83.333333333333329</v>
      </c>
      <c r="BO15">
        <v>83.333333333333329</v>
      </c>
      <c r="BP15">
        <v>83.333333333333329</v>
      </c>
      <c r="BQ15">
        <v>83.416666666666671</v>
      </c>
      <c r="BR15">
        <v>83.5</v>
      </c>
      <c r="BS15">
        <v>83.666666666666671</v>
      </c>
      <c r="BT15">
        <v>83.75</v>
      </c>
      <c r="BU15">
        <v>83.833333333333329</v>
      </c>
      <c r="BV15">
        <v>83.916666666666671</v>
      </c>
      <c r="BW15">
        <v>83.916666666666671</v>
      </c>
      <c r="BX15">
        <v>84</v>
      </c>
      <c r="BY15">
        <v>84.083333333333329</v>
      </c>
      <c r="BZ15">
        <v>84.083333333333329</v>
      </c>
      <c r="CA15">
        <v>84.083333333333329</v>
      </c>
      <c r="CB15">
        <v>84.166666666666671</v>
      </c>
      <c r="CC15">
        <v>84.166666666666671</v>
      </c>
      <c r="CD15">
        <v>84.166666666666671</v>
      </c>
      <c r="CE15">
        <v>84.5</v>
      </c>
      <c r="CF15">
        <v>84.583333333333329</v>
      </c>
      <c r="CG15">
        <v>84.75</v>
      </c>
      <c r="CH15">
        <v>85</v>
      </c>
      <c r="CI15">
        <v>85.083333333333329</v>
      </c>
      <c r="CJ15">
        <v>103</v>
      </c>
      <c r="CK15">
        <v>103.25</v>
      </c>
      <c r="CL15">
        <v>103.41666666666667</v>
      </c>
      <c r="CM15">
        <v>103.75</v>
      </c>
      <c r="CN15">
        <v>103.75</v>
      </c>
      <c r="CO15">
        <v>103.75</v>
      </c>
      <c r="CP15">
        <v>103.83333333333333</v>
      </c>
      <c r="CQ15">
        <v>103.83333333333333</v>
      </c>
      <c r="CR15">
        <v>104.33333333333333</v>
      </c>
      <c r="CS15">
        <v>104.58333333333333</v>
      </c>
      <c r="CT15">
        <v>104.83333333333333</v>
      </c>
      <c r="CU15">
        <v>123.5</v>
      </c>
      <c r="CV15">
        <v>124.25</v>
      </c>
      <c r="CW15">
        <v>144.5</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I56"/>
  <sheetViews>
    <sheetView topLeftCell="A2" zoomScale="70" zoomScaleNormal="70" workbookViewId="0">
      <selection activeCell="D45" sqref="D45"/>
    </sheetView>
  </sheetViews>
  <sheetFormatPr defaultRowHeight="14.25" x14ac:dyDescent="0.2"/>
  <cols>
    <col min="1" max="1" width="4.75" customWidth="1"/>
    <col min="2" max="2" width="10.625" bestFit="1" customWidth="1"/>
    <col min="3" max="3" width="15.75" bestFit="1" customWidth="1"/>
    <col min="4" max="4" width="10.875" bestFit="1" customWidth="1"/>
    <col min="5" max="9" width="9.625" customWidth="1"/>
    <col min="17" max="17" width="14.25" customWidth="1"/>
  </cols>
  <sheetData>
    <row r="1" spans="1:9" ht="15" x14ac:dyDescent="0.25">
      <c r="A1" s="5" t="s">
        <v>0</v>
      </c>
    </row>
    <row r="3" spans="1:9" x14ac:dyDescent="0.2">
      <c r="B3" s="1" t="s">
        <v>5</v>
      </c>
      <c r="C3" s="1" t="s">
        <v>4</v>
      </c>
      <c r="D3" s="1" t="s">
        <v>17</v>
      </c>
      <c r="E3" s="2"/>
    </row>
    <row r="4" spans="1:9" x14ac:dyDescent="0.2">
      <c r="B4">
        <v>0</v>
      </c>
      <c r="C4" t="s">
        <v>6</v>
      </c>
      <c r="D4">
        <v>4</v>
      </c>
    </row>
    <row r="5" spans="1:9" x14ac:dyDescent="0.2">
      <c r="B5">
        <f t="shared" ref="B5:B10" si="0">B4+1</f>
        <v>1</v>
      </c>
      <c r="C5" t="s">
        <v>7</v>
      </c>
      <c r="D5">
        <v>2</v>
      </c>
    </row>
    <row r="6" spans="1:9" x14ac:dyDescent="0.2">
      <c r="B6">
        <f t="shared" si="0"/>
        <v>2</v>
      </c>
      <c r="C6" t="s">
        <v>8</v>
      </c>
      <c r="D6">
        <v>2</v>
      </c>
    </row>
    <row r="7" spans="1:9" x14ac:dyDescent="0.2">
      <c r="B7">
        <f t="shared" si="0"/>
        <v>3</v>
      </c>
      <c r="C7" t="s">
        <v>9</v>
      </c>
      <c r="D7">
        <v>1</v>
      </c>
    </row>
    <row r="8" spans="1:9" x14ac:dyDescent="0.2">
      <c r="B8">
        <f t="shared" si="0"/>
        <v>4</v>
      </c>
      <c r="C8" t="s">
        <v>10</v>
      </c>
      <c r="D8">
        <v>1</v>
      </c>
    </row>
    <row r="9" spans="1:9" x14ac:dyDescent="0.2">
      <c r="B9">
        <f t="shared" si="0"/>
        <v>5</v>
      </c>
      <c r="C9" t="s">
        <v>11</v>
      </c>
      <c r="D9">
        <v>1</v>
      </c>
    </row>
    <row r="10" spans="1:9" x14ac:dyDescent="0.2">
      <c r="B10">
        <f t="shared" si="0"/>
        <v>6</v>
      </c>
      <c r="C10" t="s">
        <v>12</v>
      </c>
      <c r="D10">
        <v>1</v>
      </c>
    </row>
    <row r="12" spans="1:9" x14ac:dyDescent="0.2">
      <c r="C12" t="s">
        <v>1</v>
      </c>
    </row>
    <row r="13" spans="1:9" x14ac:dyDescent="0.2">
      <c r="B13" s="1" t="s">
        <v>13</v>
      </c>
      <c r="C13" s="1">
        <v>0</v>
      </c>
      <c r="D13" s="1">
        <f t="shared" ref="D13:I13" si="1">C13+1</f>
        <v>1</v>
      </c>
      <c r="E13" s="1">
        <f t="shared" si="1"/>
        <v>2</v>
      </c>
      <c r="F13" s="1">
        <f t="shared" si="1"/>
        <v>3</v>
      </c>
      <c r="G13" s="1">
        <f t="shared" si="1"/>
        <v>4</v>
      </c>
      <c r="H13" s="1">
        <f t="shared" si="1"/>
        <v>5</v>
      </c>
      <c r="I13" s="1">
        <f t="shared" si="1"/>
        <v>6</v>
      </c>
    </row>
    <row r="14" spans="1:9" x14ac:dyDescent="0.2">
      <c r="B14">
        <v>1</v>
      </c>
      <c r="C14">
        <v>2</v>
      </c>
      <c r="D14">
        <v>5</v>
      </c>
      <c r="E14">
        <v>4</v>
      </c>
      <c r="F14">
        <v>1</v>
      </c>
      <c r="G14">
        <v>3</v>
      </c>
      <c r="H14">
        <v>6</v>
      </c>
      <c r="I14">
        <v>7</v>
      </c>
    </row>
    <row r="15" spans="1:9" x14ac:dyDescent="0.2">
      <c r="B15">
        <f>B14+1</f>
        <v>2</v>
      </c>
      <c r="C15">
        <v>6</v>
      </c>
      <c r="D15">
        <v>2</v>
      </c>
      <c r="E15">
        <v>7</v>
      </c>
      <c r="F15">
        <v>4</v>
      </c>
      <c r="G15">
        <v>3</v>
      </c>
      <c r="H15">
        <v>1</v>
      </c>
      <c r="I15">
        <v>5</v>
      </c>
    </row>
    <row r="16" spans="1:9" x14ac:dyDescent="0.2">
      <c r="B16">
        <f t="shared" ref="B16:B25" si="2">B15+1</f>
        <v>3</v>
      </c>
      <c r="C16">
        <v>1</v>
      </c>
      <c r="D16">
        <v>7</v>
      </c>
      <c r="E16">
        <v>5</v>
      </c>
      <c r="F16">
        <v>4</v>
      </c>
      <c r="G16">
        <v>3</v>
      </c>
      <c r="H16">
        <v>2</v>
      </c>
      <c r="I16">
        <v>6</v>
      </c>
    </row>
    <row r="17" spans="2:9" x14ac:dyDescent="0.2">
      <c r="B17">
        <f t="shared" si="2"/>
        <v>4</v>
      </c>
      <c r="C17">
        <v>2</v>
      </c>
      <c r="D17">
        <v>7</v>
      </c>
      <c r="E17">
        <v>1</v>
      </c>
      <c r="F17">
        <v>3</v>
      </c>
      <c r="G17">
        <v>5</v>
      </c>
      <c r="H17">
        <v>4</v>
      </c>
      <c r="I17">
        <v>6</v>
      </c>
    </row>
    <row r="18" spans="2:9" x14ac:dyDescent="0.2">
      <c r="B18">
        <f t="shared" si="2"/>
        <v>5</v>
      </c>
      <c r="C18">
        <v>4</v>
      </c>
      <c r="D18">
        <v>3</v>
      </c>
      <c r="E18">
        <v>7</v>
      </c>
      <c r="F18">
        <v>2</v>
      </c>
      <c r="G18">
        <v>1</v>
      </c>
      <c r="H18">
        <v>6</v>
      </c>
      <c r="I18">
        <v>5</v>
      </c>
    </row>
    <row r="19" spans="2:9" x14ac:dyDescent="0.2">
      <c r="B19">
        <f t="shared" si="2"/>
        <v>6</v>
      </c>
      <c r="C19">
        <v>6</v>
      </c>
      <c r="D19">
        <v>1</v>
      </c>
      <c r="E19">
        <v>5</v>
      </c>
      <c r="F19">
        <v>7</v>
      </c>
      <c r="G19">
        <v>2</v>
      </c>
      <c r="H19">
        <v>3</v>
      </c>
      <c r="I19">
        <v>4</v>
      </c>
    </row>
    <row r="20" spans="2:9" x14ac:dyDescent="0.2">
      <c r="B20">
        <f t="shared" si="2"/>
        <v>7</v>
      </c>
      <c r="C20">
        <v>6</v>
      </c>
      <c r="D20">
        <v>4</v>
      </c>
      <c r="E20">
        <v>5</v>
      </c>
      <c r="F20">
        <v>7</v>
      </c>
      <c r="G20">
        <v>1</v>
      </c>
      <c r="H20">
        <v>3</v>
      </c>
      <c r="I20">
        <v>2</v>
      </c>
    </row>
    <row r="21" spans="2:9" x14ac:dyDescent="0.2">
      <c r="B21">
        <f t="shared" si="2"/>
        <v>8</v>
      </c>
      <c r="C21">
        <v>1</v>
      </c>
      <c r="D21">
        <v>6</v>
      </c>
      <c r="E21">
        <v>4</v>
      </c>
      <c r="F21">
        <v>2</v>
      </c>
      <c r="G21">
        <v>3</v>
      </c>
      <c r="H21">
        <v>5</v>
      </c>
      <c r="I21">
        <v>7</v>
      </c>
    </row>
    <row r="22" spans="2:9" x14ac:dyDescent="0.2">
      <c r="B22">
        <f t="shared" si="2"/>
        <v>9</v>
      </c>
      <c r="C22">
        <v>6</v>
      </c>
      <c r="D22">
        <v>5</v>
      </c>
      <c r="E22">
        <v>3</v>
      </c>
      <c r="F22">
        <v>2</v>
      </c>
      <c r="G22">
        <v>7</v>
      </c>
      <c r="H22">
        <v>4</v>
      </c>
      <c r="I22">
        <v>1</v>
      </c>
    </row>
    <row r="23" spans="2:9" x14ac:dyDescent="0.2">
      <c r="B23">
        <f t="shared" si="2"/>
        <v>10</v>
      </c>
      <c r="C23">
        <v>3</v>
      </c>
      <c r="D23">
        <v>5</v>
      </c>
      <c r="E23">
        <v>1</v>
      </c>
      <c r="F23">
        <v>7</v>
      </c>
      <c r="G23">
        <v>2</v>
      </c>
      <c r="H23">
        <v>4</v>
      </c>
      <c r="I23">
        <v>6</v>
      </c>
    </row>
    <row r="24" spans="2:9" x14ac:dyDescent="0.2">
      <c r="B24">
        <f t="shared" si="2"/>
        <v>11</v>
      </c>
      <c r="C24">
        <v>3</v>
      </c>
      <c r="D24">
        <v>6</v>
      </c>
      <c r="E24">
        <v>4</v>
      </c>
      <c r="F24">
        <v>5</v>
      </c>
      <c r="G24">
        <v>7</v>
      </c>
      <c r="H24">
        <v>2</v>
      </c>
      <c r="I24">
        <v>1</v>
      </c>
    </row>
    <row r="25" spans="2:9" x14ac:dyDescent="0.2">
      <c r="B25">
        <f t="shared" si="2"/>
        <v>12</v>
      </c>
      <c r="C25">
        <v>3</v>
      </c>
      <c r="D25">
        <v>4</v>
      </c>
      <c r="E25">
        <v>7</v>
      </c>
      <c r="F25">
        <v>1</v>
      </c>
      <c r="G25">
        <v>6</v>
      </c>
      <c r="H25">
        <v>5</v>
      </c>
      <c r="I25">
        <v>2</v>
      </c>
    </row>
    <row r="27" spans="2:9" x14ac:dyDescent="0.2">
      <c r="B27" s="1" t="s">
        <v>13</v>
      </c>
      <c r="C27" s="1"/>
      <c r="D27" s="1" t="s">
        <v>16</v>
      </c>
    </row>
    <row r="28" spans="2:9" x14ac:dyDescent="0.2">
      <c r="B28">
        <v>1</v>
      </c>
      <c r="C28" s="3">
        <v>3</v>
      </c>
      <c r="D28">
        <f>HLOOKUP(C28,$C$13:$I$25,ROW($B14)-ROW($B$12),FALSE)</f>
        <v>1</v>
      </c>
      <c r="F28" s="1" t="s">
        <v>2</v>
      </c>
      <c r="G28" s="1" t="s">
        <v>14</v>
      </c>
      <c r="H28" s="1" t="s">
        <v>17</v>
      </c>
      <c r="I28" s="4" t="s">
        <v>18</v>
      </c>
    </row>
    <row r="29" spans="2:9" x14ac:dyDescent="0.2">
      <c r="B29">
        <f>B28+1</f>
        <v>2</v>
      </c>
      <c r="C29" s="3">
        <v>5</v>
      </c>
      <c r="D29">
        <f t="shared" ref="D29:D39" si="3">HLOOKUP(C29,$C$13:$I$25,ROW($B15)-ROW($B$12),FALSE)</f>
        <v>1</v>
      </c>
      <c r="F29">
        <v>0</v>
      </c>
      <c r="G29">
        <f>COUNTIF($C$28:$C$39,F29)</f>
        <v>2</v>
      </c>
      <c r="H29">
        <f t="shared" ref="H29:H35" si="4">D4</f>
        <v>4</v>
      </c>
      <c r="I29">
        <f>IF(G29&lt;H29,H29-G29,0)</f>
        <v>2</v>
      </c>
    </row>
    <row r="30" spans="2:9" x14ac:dyDescent="0.2">
      <c r="B30">
        <f t="shared" ref="B30:B39" si="5">B29+1</f>
        <v>3</v>
      </c>
      <c r="C30" s="3">
        <v>0</v>
      </c>
      <c r="D30">
        <f t="shared" si="3"/>
        <v>1</v>
      </c>
      <c r="F30">
        <f t="shared" ref="F30:F35" si="6">F29+1</f>
        <v>1</v>
      </c>
      <c r="G30">
        <f t="shared" ref="G30:G35" si="7">COUNTIF($C$28:$C$39,F30)</f>
        <v>1</v>
      </c>
      <c r="H30">
        <f t="shared" si="4"/>
        <v>2</v>
      </c>
      <c r="I30">
        <f t="shared" ref="I30:I35" si="8">IF(G30&lt;H30,H30-G30,0)</f>
        <v>1</v>
      </c>
    </row>
    <row r="31" spans="2:9" x14ac:dyDescent="0.2">
      <c r="B31">
        <f t="shared" si="5"/>
        <v>4</v>
      </c>
      <c r="C31" s="3">
        <v>2</v>
      </c>
      <c r="D31">
        <f t="shared" si="3"/>
        <v>1</v>
      </c>
      <c r="F31">
        <f t="shared" si="6"/>
        <v>2</v>
      </c>
      <c r="G31">
        <f t="shared" si="7"/>
        <v>2</v>
      </c>
      <c r="H31">
        <f t="shared" si="4"/>
        <v>2</v>
      </c>
      <c r="I31">
        <f t="shared" si="8"/>
        <v>0</v>
      </c>
    </row>
    <row r="32" spans="2:9" x14ac:dyDescent="0.2">
      <c r="B32">
        <f t="shared" si="5"/>
        <v>5</v>
      </c>
      <c r="C32" s="3">
        <v>4</v>
      </c>
      <c r="D32">
        <f t="shared" si="3"/>
        <v>1</v>
      </c>
      <c r="F32">
        <f t="shared" si="6"/>
        <v>3</v>
      </c>
      <c r="G32">
        <f t="shared" si="7"/>
        <v>2</v>
      </c>
      <c r="H32">
        <f t="shared" si="4"/>
        <v>1</v>
      </c>
      <c r="I32">
        <f t="shared" si="8"/>
        <v>0</v>
      </c>
    </row>
    <row r="33" spans="2:9" x14ac:dyDescent="0.2">
      <c r="B33">
        <f t="shared" si="5"/>
        <v>6</v>
      </c>
      <c r="C33" s="3">
        <v>1</v>
      </c>
      <c r="D33">
        <f t="shared" si="3"/>
        <v>1</v>
      </c>
      <c r="F33">
        <f t="shared" si="6"/>
        <v>4</v>
      </c>
      <c r="G33">
        <f t="shared" si="7"/>
        <v>2</v>
      </c>
      <c r="H33">
        <f t="shared" si="4"/>
        <v>1</v>
      </c>
      <c r="I33">
        <f t="shared" si="8"/>
        <v>0</v>
      </c>
    </row>
    <row r="34" spans="2:9" x14ac:dyDescent="0.2">
      <c r="B34">
        <f t="shared" si="5"/>
        <v>7</v>
      </c>
      <c r="C34" s="3">
        <v>4</v>
      </c>
      <c r="D34">
        <f t="shared" si="3"/>
        <v>1</v>
      </c>
      <c r="F34">
        <f t="shared" si="6"/>
        <v>5</v>
      </c>
      <c r="G34">
        <f t="shared" si="7"/>
        <v>1</v>
      </c>
      <c r="H34">
        <f t="shared" si="4"/>
        <v>1</v>
      </c>
      <c r="I34">
        <f t="shared" si="8"/>
        <v>0</v>
      </c>
    </row>
    <row r="35" spans="2:9" x14ac:dyDescent="0.2">
      <c r="B35">
        <f t="shared" si="5"/>
        <v>8</v>
      </c>
      <c r="C35" s="3">
        <v>0</v>
      </c>
      <c r="D35">
        <f t="shared" si="3"/>
        <v>1</v>
      </c>
      <c r="F35">
        <f t="shared" si="6"/>
        <v>6</v>
      </c>
      <c r="G35">
        <f t="shared" si="7"/>
        <v>2</v>
      </c>
      <c r="H35">
        <f t="shared" si="4"/>
        <v>1</v>
      </c>
      <c r="I35">
        <f t="shared" si="8"/>
        <v>0</v>
      </c>
    </row>
    <row r="36" spans="2:9" x14ac:dyDescent="0.2">
      <c r="B36">
        <f t="shared" si="5"/>
        <v>9</v>
      </c>
      <c r="C36" s="3">
        <v>6</v>
      </c>
      <c r="D36">
        <f t="shared" si="3"/>
        <v>1</v>
      </c>
    </row>
    <row r="37" spans="2:9" x14ac:dyDescent="0.2">
      <c r="B37">
        <f t="shared" si="5"/>
        <v>10</v>
      </c>
      <c r="C37" s="3">
        <v>2</v>
      </c>
      <c r="D37">
        <f t="shared" si="3"/>
        <v>1</v>
      </c>
      <c r="H37" s="1" t="s">
        <v>3</v>
      </c>
    </row>
    <row r="38" spans="2:9" x14ac:dyDescent="0.2">
      <c r="B38">
        <f t="shared" si="5"/>
        <v>11</v>
      </c>
      <c r="C38" s="3">
        <v>6</v>
      </c>
      <c r="D38">
        <f t="shared" si="3"/>
        <v>1</v>
      </c>
      <c r="G38" t="s">
        <v>15</v>
      </c>
      <c r="H38" s="9">
        <f>AVERAGE(D28:D39)+SUM(I29:I35)*20</f>
        <v>61</v>
      </c>
      <c r="I38" s="14" t="s">
        <v>179</v>
      </c>
    </row>
    <row r="39" spans="2:9" x14ac:dyDescent="0.2">
      <c r="B39">
        <f t="shared" si="5"/>
        <v>12</v>
      </c>
      <c r="C39" s="3">
        <v>3</v>
      </c>
      <c r="D39">
        <f t="shared" si="3"/>
        <v>1</v>
      </c>
      <c r="G39" t="s">
        <v>180</v>
      </c>
    </row>
    <row r="45" spans="2:9" x14ac:dyDescent="0.2">
      <c r="C45">
        <v>3</v>
      </c>
    </row>
    <row r="46" spans="2:9" x14ac:dyDescent="0.2">
      <c r="C46">
        <v>5</v>
      </c>
    </row>
    <row r="47" spans="2:9" x14ac:dyDescent="0.2">
      <c r="C47">
        <v>0</v>
      </c>
    </row>
    <row r="48" spans="2:9" x14ac:dyDescent="0.2">
      <c r="C48">
        <v>2</v>
      </c>
    </row>
    <row r="49" spans="3:3" x14ac:dyDescent="0.2">
      <c r="C49">
        <v>4</v>
      </c>
    </row>
    <row r="50" spans="3:3" x14ac:dyDescent="0.2">
      <c r="C50">
        <v>1</v>
      </c>
    </row>
    <row r="51" spans="3:3" x14ac:dyDescent="0.2">
      <c r="C51">
        <v>4</v>
      </c>
    </row>
    <row r="52" spans="3:3" x14ac:dyDescent="0.2">
      <c r="C52">
        <v>0</v>
      </c>
    </row>
    <row r="53" spans="3:3" x14ac:dyDescent="0.2">
      <c r="C53">
        <v>6</v>
      </c>
    </row>
    <row r="54" spans="3:3" x14ac:dyDescent="0.2">
      <c r="C54">
        <v>2</v>
      </c>
    </row>
    <row r="55" spans="3:3" x14ac:dyDescent="0.2">
      <c r="C55">
        <v>6</v>
      </c>
    </row>
    <row r="56" spans="3:3" x14ac:dyDescent="0.2">
      <c r="C56">
        <v>3</v>
      </c>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FF00"/>
  </sheetPr>
  <dimension ref="B2:K87"/>
  <sheetViews>
    <sheetView tabSelected="1" workbookViewId="0">
      <selection activeCell="L30" sqref="L30"/>
    </sheetView>
  </sheetViews>
  <sheetFormatPr defaultRowHeight="14.25" x14ac:dyDescent="0.2"/>
  <sheetData>
    <row r="2" spans="2:4" x14ac:dyDescent="0.2">
      <c r="B2" t="s">
        <v>19</v>
      </c>
    </row>
    <row r="3" spans="2:4" x14ac:dyDescent="0.2">
      <c r="B3" t="s">
        <v>185</v>
      </c>
    </row>
    <row r="4" spans="2:4" x14ac:dyDescent="0.2">
      <c r="B4" t="s">
        <v>181</v>
      </c>
    </row>
    <row r="6" spans="2:4" x14ac:dyDescent="0.2">
      <c r="B6" t="s">
        <v>21</v>
      </c>
    </row>
    <row r="7" spans="2:4" x14ac:dyDescent="0.2">
      <c r="B7" t="s">
        <v>20</v>
      </c>
    </row>
    <row r="9" spans="2:4" x14ac:dyDescent="0.2">
      <c r="B9" t="s">
        <v>186</v>
      </c>
    </row>
    <row r="10" spans="2:4" x14ac:dyDescent="0.2">
      <c r="B10" t="s">
        <v>22</v>
      </c>
    </row>
    <row r="11" spans="2:4" x14ac:dyDescent="0.2">
      <c r="C11" t="s">
        <v>23</v>
      </c>
    </row>
    <row r="12" spans="2:4" x14ac:dyDescent="0.2">
      <c r="D12" t="s">
        <v>24</v>
      </c>
    </row>
    <row r="13" spans="2:4" x14ac:dyDescent="0.2">
      <c r="D13" t="s">
        <v>25</v>
      </c>
    </row>
    <row r="14" spans="2:4" x14ac:dyDescent="0.2">
      <c r="D14" t="s">
        <v>26</v>
      </c>
    </row>
    <row r="15" spans="2:4" x14ac:dyDescent="0.2">
      <c r="D15" t="s">
        <v>27</v>
      </c>
    </row>
    <row r="16" spans="2:4" x14ac:dyDescent="0.2">
      <c r="D16" t="s">
        <v>28</v>
      </c>
    </row>
    <row r="17" spans="3:4" x14ac:dyDescent="0.2">
      <c r="D17" t="s">
        <v>29</v>
      </c>
    </row>
    <row r="18" spans="3:4" x14ac:dyDescent="0.2">
      <c r="C18" t="s">
        <v>30</v>
      </c>
    </row>
    <row r="19" spans="3:4" x14ac:dyDescent="0.2">
      <c r="C19" t="s">
        <v>33</v>
      </c>
    </row>
    <row r="20" spans="3:4" x14ac:dyDescent="0.2">
      <c r="D20" t="s">
        <v>34</v>
      </c>
    </row>
    <row r="21" spans="3:4" x14ac:dyDescent="0.2">
      <c r="D21" t="s">
        <v>31</v>
      </c>
    </row>
    <row r="22" spans="3:4" x14ac:dyDescent="0.2">
      <c r="D22" t="s">
        <v>32</v>
      </c>
    </row>
    <row r="23" spans="3:4" x14ac:dyDescent="0.2">
      <c r="D23" t="s">
        <v>35</v>
      </c>
    </row>
    <row r="25" spans="3:4" x14ac:dyDescent="0.2">
      <c r="C25" t="s">
        <v>37</v>
      </c>
    </row>
    <row r="26" spans="3:4" x14ac:dyDescent="0.2">
      <c r="C26" t="s">
        <v>36</v>
      </c>
    </row>
    <row r="27" spans="3:4" x14ac:dyDescent="0.2">
      <c r="C27" t="s">
        <v>187</v>
      </c>
    </row>
    <row r="28" spans="3:4" x14ac:dyDescent="0.2">
      <c r="C28" t="s">
        <v>188</v>
      </c>
    </row>
    <row r="30" spans="3:4" x14ac:dyDescent="0.2">
      <c r="C30" t="s">
        <v>38</v>
      </c>
    </row>
    <row r="31" spans="3:4" x14ac:dyDescent="0.2">
      <c r="C31" t="s">
        <v>39</v>
      </c>
    </row>
    <row r="33" spans="3:3" x14ac:dyDescent="0.2">
      <c r="C33" t="s">
        <v>40</v>
      </c>
    </row>
    <row r="34" spans="3:3" x14ac:dyDescent="0.2">
      <c r="C34" t="s">
        <v>41</v>
      </c>
    </row>
    <row r="35" spans="3:3" x14ac:dyDescent="0.2">
      <c r="C35" t="s">
        <v>42</v>
      </c>
    </row>
    <row r="36" spans="3:3" x14ac:dyDescent="0.2">
      <c r="C36" s="32" t="s">
        <v>189</v>
      </c>
    </row>
    <row r="38" spans="3:3" x14ac:dyDescent="0.2">
      <c r="C38" t="s">
        <v>43</v>
      </c>
    </row>
    <row r="39" spans="3:3" x14ac:dyDescent="0.2">
      <c r="C39" t="s">
        <v>44</v>
      </c>
    </row>
    <row r="40" spans="3:3" x14ac:dyDescent="0.2">
      <c r="C40" t="s">
        <v>45</v>
      </c>
    </row>
    <row r="41" spans="3:3" x14ac:dyDescent="0.2">
      <c r="C41" t="s">
        <v>183</v>
      </c>
    </row>
    <row r="43" spans="3:3" x14ac:dyDescent="0.2">
      <c r="C43" t="s">
        <v>46</v>
      </c>
    </row>
    <row r="44" spans="3:3" x14ac:dyDescent="0.2">
      <c r="C44" t="s">
        <v>47</v>
      </c>
    </row>
    <row r="45" spans="3:3" x14ac:dyDescent="0.2">
      <c r="C45" t="s">
        <v>48</v>
      </c>
    </row>
    <row r="46" spans="3:3" x14ac:dyDescent="0.2">
      <c r="C46" t="s">
        <v>182</v>
      </c>
    </row>
    <row r="48" spans="3:3" x14ac:dyDescent="0.2">
      <c r="C48" t="s">
        <v>49</v>
      </c>
    </row>
    <row r="49" spans="2:11" x14ac:dyDescent="0.2">
      <c r="C49" t="s">
        <v>50</v>
      </c>
    </row>
    <row r="50" spans="2:11" x14ac:dyDescent="0.2">
      <c r="C50" t="s">
        <v>51</v>
      </c>
    </row>
    <row r="52" spans="2:11" x14ac:dyDescent="0.2">
      <c r="C52" t="s">
        <v>52</v>
      </c>
    </row>
    <row r="54" spans="2:11" x14ac:dyDescent="0.2">
      <c r="B54" s="6" t="s">
        <v>71</v>
      </c>
      <c r="C54" s="6"/>
      <c r="D54" s="6"/>
      <c r="E54" s="6"/>
      <c r="F54" s="6"/>
      <c r="G54" s="6"/>
      <c r="H54" s="6"/>
      <c r="I54" s="6"/>
      <c r="J54" s="6"/>
      <c r="K54" s="6"/>
    </row>
    <row r="55" spans="2:11" x14ac:dyDescent="0.2">
      <c r="C55" t="s">
        <v>53</v>
      </c>
    </row>
    <row r="56" spans="2:11" x14ac:dyDescent="0.2">
      <c r="C56" t="s">
        <v>54</v>
      </c>
    </row>
    <row r="57" spans="2:11" x14ac:dyDescent="0.2">
      <c r="D57" t="s">
        <v>70</v>
      </c>
    </row>
    <row r="58" spans="2:11" x14ac:dyDescent="0.2">
      <c r="D58" t="s">
        <v>55</v>
      </c>
    </row>
    <row r="59" spans="2:11" x14ac:dyDescent="0.2">
      <c r="D59" t="s">
        <v>56</v>
      </c>
    </row>
    <row r="60" spans="2:11" x14ac:dyDescent="0.2">
      <c r="D60" t="s">
        <v>57</v>
      </c>
    </row>
    <row r="61" spans="2:11" x14ac:dyDescent="0.2">
      <c r="D61" t="s">
        <v>58</v>
      </c>
    </row>
    <row r="62" spans="2:11" x14ac:dyDescent="0.2">
      <c r="D62" t="s">
        <v>59</v>
      </c>
    </row>
    <row r="63" spans="2:11" x14ac:dyDescent="0.2">
      <c r="D63" t="s">
        <v>60</v>
      </c>
    </row>
    <row r="64" spans="2:11" x14ac:dyDescent="0.2">
      <c r="D64" t="s">
        <v>61</v>
      </c>
    </row>
    <row r="65" spans="2:9" x14ac:dyDescent="0.2">
      <c r="E65" t="s">
        <v>69</v>
      </c>
    </row>
    <row r="66" spans="2:9" x14ac:dyDescent="0.2">
      <c r="E66" t="s">
        <v>62</v>
      </c>
    </row>
    <row r="67" spans="2:9" x14ac:dyDescent="0.2">
      <c r="E67" t="s">
        <v>63</v>
      </c>
    </row>
    <row r="68" spans="2:9" x14ac:dyDescent="0.2">
      <c r="E68" t="s">
        <v>64</v>
      </c>
    </row>
    <row r="69" spans="2:9" x14ac:dyDescent="0.2">
      <c r="E69" t="s">
        <v>65</v>
      </c>
    </row>
    <row r="71" spans="2:9" x14ac:dyDescent="0.2">
      <c r="D71" t="s">
        <v>67</v>
      </c>
    </row>
    <row r="73" spans="2:9" x14ac:dyDescent="0.2">
      <c r="D73" t="s">
        <v>66</v>
      </c>
    </row>
    <row r="75" spans="2:9" x14ac:dyDescent="0.2">
      <c r="D75" t="s">
        <v>68</v>
      </c>
    </row>
    <row r="76" spans="2:9" x14ac:dyDescent="0.2">
      <c r="D76" t="s">
        <v>184</v>
      </c>
    </row>
    <row r="78" spans="2:9" x14ac:dyDescent="0.2">
      <c r="B78" s="6" t="s">
        <v>162</v>
      </c>
      <c r="C78" s="6"/>
      <c r="D78" s="6"/>
      <c r="E78" s="6"/>
      <c r="F78" s="6"/>
      <c r="G78" s="6"/>
      <c r="H78" s="6"/>
      <c r="I78" s="6"/>
    </row>
    <row r="79" spans="2:9" x14ac:dyDescent="0.2">
      <c r="C79" t="s">
        <v>72</v>
      </c>
    </row>
    <row r="80" spans="2:9" x14ac:dyDescent="0.2">
      <c r="C80" t="s">
        <v>73</v>
      </c>
    </row>
    <row r="81" spans="3:4" x14ac:dyDescent="0.2">
      <c r="D81" t="s">
        <v>74</v>
      </c>
    </row>
    <row r="82" spans="3:4" x14ac:dyDescent="0.2">
      <c r="D82" t="s">
        <v>75</v>
      </c>
    </row>
    <row r="83" spans="3:4" x14ac:dyDescent="0.2">
      <c r="D83" t="s">
        <v>76</v>
      </c>
    </row>
    <row r="84" spans="3:4" x14ac:dyDescent="0.2">
      <c r="D84" t="s">
        <v>77</v>
      </c>
    </row>
    <row r="85" spans="3:4" x14ac:dyDescent="0.2">
      <c r="D85" t="s">
        <v>78</v>
      </c>
    </row>
    <row r="86" spans="3:4" x14ac:dyDescent="0.2">
      <c r="C86" t="s">
        <v>80</v>
      </c>
    </row>
    <row r="87" spans="3:4" x14ac:dyDescent="0.2">
      <c r="C87" t="s">
        <v>79</v>
      </c>
    </row>
  </sheetData>
  <hyperlinks>
    <hyperlink ref="C36" r:id="rId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2:F20"/>
  <sheetViews>
    <sheetView workbookViewId="0">
      <selection activeCell="E24" sqref="E24"/>
    </sheetView>
  </sheetViews>
  <sheetFormatPr defaultRowHeight="14.25" x14ac:dyDescent="0.2"/>
  <cols>
    <col min="5" max="5" width="28.25" customWidth="1"/>
  </cols>
  <sheetData>
    <row r="2" spans="2:6" x14ac:dyDescent="0.2">
      <c r="B2" t="s">
        <v>108</v>
      </c>
    </row>
    <row r="4" spans="2:6" x14ac:dyDescent="0.2">
      <c r="B4" t="s">
        <v>81</v>
      </c>
    </row>
    <row r="5" spans="2:6" x14ac:dyDescent="0.2">
      <c r="B5" t="s">
        <v>82</v>
      </c>
    </row>
    <row r="8" spans="2:6" x14ac:dyDescent="0.2">
      <c r="D8" s="7" t="s">
        <v>83</v>
      </c>
      <c r="E8" s="8">
        <v>100</v>
      </c>
      <c r="F8" t="s">
        <v>106</v>
      </c>
    </row>
    <row r="9" spans="2:6" x14ac:dyDescent="0.2">
      <c r="D9" s="7" t="s">
        <v>84</v>
      </c>
      <c r="E9" s="8">
        <v>0</v>
      </c>
      <c r="F9" t="s">
        <v>105</v>
      </c>
    </row>
    <row r="10" spans="2:6" x14ac:dyDescent="0.2">
      <c r="D10" s="7" t="s">
        <v>85</v>
      </c>
      <c r="E10" s="8">
        <v>6</v>
      </c>
      <c r="F10" t="s">
        <v>104</v>
      </c>
    </row>
    <row r="11" spans="2:6" x14ac:dyDescent="0.2">
      <c r="D11" s="7" t="s">
        <v>86</v>
      </c>
      <c r="E11" s="8" t="s">
        <v>190</v>
      </c>
      <c r="F11" t="s">
        <v>102</v>
      </c>
    </row>
    <row r="12" spans="2:6" x14ac:dyDescent="0.2">
      <c r="D12" s="7" t="s">
        <v>87</v>
      </c>
      <c r="E12" s="8" t="s">
        <v>191</v>
      </c>
      <c r="F12" t="s">
        <v>103</v>
      </c>
    </row>
    <row r="13" spans="2:6" x14ac:dyDescent="0.2">
      <c r="D13" s="7" t="s">
        <v>88</v>
      </c>
      <c r="E13" s="8">
        <v>20</v>
      </c>
      <c r="F13" t="s">
        <v>101</v>
      </c>
    </row>
    <row r="14" spans="2:6" x14ac:dyDescent="0.2">
      <c r="D14" s="7" t="s">
        <v>89</v>
      </c>
      <c r="E14" s="8">
        <v>50</v>
      </c>
      <c r="F14" t="s">
        <v>100</v>
      </c>
    </row>
    <row r="15" spans="2:6" x14ac:dyDescent="0.2">
      <c r="D15" s="7" t="s">
        <v>90</v>
      </c>
      <c r="E15" s="8">
        <v>10</v>
      </c>
      <c r="F15" t="s">
        <v>99</v>
      </c>
    </row>
    <row r="16" spans="2:6" x14ac:dyDescent="0.2">
      <c r="D16" s="7" t="s">
        <v>91</v>
      </c>
      <c r="E16" s="8">
        <v>12</v>
      </c>
      <c r="F16" t="s">
        <v>98</v>
      </c>
    </row>
    <row r="17" spans="4:6" x14ac:dyDescent="0.2">
      <c r="D17" s="7" t="s">
        <v>92</v>
      </c>
      <c r="E17" s="8" t="s">
        <v>107</v>
      </c>
      <c r="F17" t="s">
        <v>97</v>
      </c>
    </row>
    <row r="18" spans="4:6" x14ac:dyDescent="0.2">
      <c r="D18" s="7" t="s">
        <v>93</v>
      </c>
      <c r="E18" s="8" t="s">
        <v>107</v>
      </c>
      <c r="F18" t="s">
        <v>96</v>
      </c>
    </row>
    <row r="19" spans="4:6" x14ac:dyDescent="0.2">
      <c r="D19" s="7" t="s">
        <v>94</v>
      </c>
      <c r="E19" s="8" t="s">
        <v>156</v>
      </c>
      <c r="F19" t="s">
        <v>95</v>
      </c>
    </row>
    <row r="20" spans="4:6" x14ac:dyDescent="0.2">
      <c r="D20" s="7" t="s">
        <v>150</v>
      </c>
      <c r="E20" s="15" t="s">
        <v>152</v>
      </c>
      <c r="F20" t="s">
        <v>151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C000"/>
  </sheetPr>
  <dimension ref="A1:O29"/>
  <sheetViews>
    <sheetView zoomScale="80" zoomScaleNormal="80" workbookViewId="0">
      <selection activeCell="A22" sqref="A22"/>
    </sheetView>
  </sheetViews>
  <sheetFormatPr defaultRowHeight="14.25" x14ac:dyDescent="0.2"/>
  <cols>
    <col min="1" max="1" width="29" customWidth="1"/>
    <col min="2" max="2" width="9.875" bestFit="1" customWidth="1"/>
    <col min="3" max="3" width="10.875" bestFit="1" customWidth="1"/>
    <col min="4" max="4" width="12.25" bestFit="1" customWidth="1"/>
    <col min="5" max="5" width="11.125" bestFit="1" customWidth="1"/>
    <col min="6" max="6" width="14.375" bestFit="1" customWidth="1"/>
    <col min="7" max="7" width="12.375" bestFit="1" customWidth="1"/>
    <col min="8" max="8" width="13.125" bestFit="1" customWidth="1"/>
    <col min="9" max="9" width="12.375" bestFit="1" customWidth="1"/>
    <col min="10" max="10" width="14.5" bestFit="1" customWidth="1"/>
    <col min="11" max="11" width="13.75" bestFit="1" customWidth="1"/>
    <col min="15" max="15" width="14.875" bestFit="1" customWidth="1"/>
  </cols>
  <sheetData>
    <row r="1" spans="1:12" x14ac:dyDescent="0.2">
      <c r="D1" t="s">
        <v>122</v>
      </c>
    </row>
    <row r="2" spans="1:12" x14ac:dyDescent="0.2">
      <c r="A2" t="s">
        <v>109</v>
      </c>
      <c r="C2">
        <v>1</v>
      </c>
      <c r="D2">
        <v>2</v>
      </c>
      <c r="E2">
        <v>3</v>
      </c>
      <c r="F2">
        <v>4</v>
      </c>
      <c r="G2">
        <v>5</v>
      </c>
      <c r="H2">
        <v>6</v>
      </c>
      <c r="I2">
        <v>7</v>
      </c>
      <c r="J2">
        <v>8</v>
      </c>
    </row>
    <row r="3" spans="1:12" x14ac:dyDescent="0.2">
      <c r="A3" t="s">
        <v>118</v>
      </c>
      <c r="C3">
        <v>1</v>
      </c>
      <c r="D3">
        <v>1</v>
      </c>
      <c r="E3">
        <v>4</v>
      </c>
      <c r="F3">
        <v>2</v>
      </c>
      <c r="G3">
        <v>1</v>
      </c>
      <c r="H3">
        <v>2</v>
      </c>
      <c r="I3">
        <v>2.5</v>
      </c>
      <c r="J3">
        <v>1</v>
      </c>
    </row>
    <row r="5" spans="1:12" x14ac:dyDescent="0.2">
      <c r="A5" s="24" t="s">
        <v>109</v>
      </c>
      <c r="B5" s="25" t="s">
        <v>125</v>
      </c>
      <c r="C5" s="25" t="s">
        <v>110</v>
      </c>
      <c r="D5" s="25" t="s">
        <v>111</v>
      </c>
      <c r="E5" s="25" t="s">
        <v>112</v>
      </c>
      <c r="F5" s="25" t="s">
        <v>113</v>
      </c>
      <c r="G5" s="25" t="s">
        <v>114</v>
      </c>
      <c r="H5" s="25" t="s">
        <v>115</v>
      </c>
      <c r="I5" s="25" t="s">
        <v>116</v>
      </c>
      <c r="J5" s="26" t="s">
        <v>117</v>
      </c>
      <c r="L5" t="s">
        <v>119</v>
      </c>
    </row>
    <row r="6" spans="1:12" x14ac:dyDescent="0.2">
      <c r="A6" s="27" t="s">
        <v>110</v>
      </c>
      <c r="B6" s="2">
        <v>1</v>
      </c>
      <c r="C6" s="2">
        <v>0</v>
      </c>
      <c r="D6" s="2">
        <v>326</v>
      </c>
      <c r="E6" s="2">
        <v>170</v>
      </c>
      <c r="F6" s="2">
        <v>156</v>
      </c>
      <c r="G6" s="2">
        <v>142</v>
      </c>
      <c r="H6" s="2">
        <v>154</v>
      </c>
      <c r="I6" s="2">
        <v>111</v>
      </c>
      <c r="J6" s="28">
        <v>167</v>
      </c>
      <c r="L6" t="s">
        <v>120</v>
      </c>
    </row>
    <row r="7" spans="1:12" x14ac:dyDescent="0.2">
      <c r="A7" s="27" t="s">
        <v>111</v>
      </c>
      <c r="B7" s="2">
        <v>2</v>
      </c>
      <c r="C7" s="2">
        <v>326</v>
      </c>
      <c r="D7" s="2">
        <v>0</v>
      </c>
      <c r="E7" s="2">
        <v>164</v>
      </c>
      <c r="F7" s="2">
        <v>310</v>
      </c>
      <c r="G7" s="2">
        <v>153</v>
      </c>
      <c r="H7" s="2">
        <v>339</v>
      </c>
      <c r="I7" s="2">
        <v>256</v>
      </c>
      <c r="J7" s="28">
        <v>192</v>
      </c>
      <c r="L7" t="s">
        <v>121</v>
      </c>
    </row>
    <row r="8" spans="1:12" x14ac:dyDescent="0.2">
      <c r="A8" s="27" t="s">
        <v>112</v>
      </c>
      <c r="B8" s="2">
        <v>3</v>
      </c>
      <c r="C8" s="2">
        <v>170</v>
      </c>
      <c r="D8" s="2">
        <v>164</v>
      </c>
      <c r="E8" s="2">
        <v>0</v>
      </c>
      <c r="F8" s="2">
        <v>153</v>
      </c>
      <c r="G8" s="2">
        <v>68</v>
      </c>
      <c r="H8" s="2">
        <v>182</v>
      </c>
      <c r="I8" s="2">
        <v>99</v>
      </c>
      <c r="J8" s="28">
        <v>179</v>
      </c>
    </row>
    <row r="9" spans="1:12" x14ac:dyDescent="0.2">
      <c r="A9" s="27" t="s">
        <v>113</v>
      </c>
      <c r="B9" s="2">
        <v>4</v>
      </c>
      <c r="C9" s="2">
        <v>156</v>
      </c>
      <c r="D9" s="2">
        <v>310</v>
      </c>
      <c r="E9" s="2">
        <v>153</v>
      </c>
      <c r="F9" s="2">
        <v>0</v>
      </c>
      <c r="G9" s="2">
        <v>198</v>
      </c>
      <c r="H9" s="2">
        <v>29</v>
      </c>
      <c r="I9" s="2">
        <v>56</v>
      </c>
      <c r="J9" s="28">
        <v>250</v>
      </c>
    </row>
    <row r="10" spans="1:12" x14ac:dyDescent="0.2">
      <c r="A10" s="27" t="s">
        <v>114</v>
      </c>
      <c r="B10" s="2">
        <v>5</v>
      </c>
      <c r="C10" s="2">
        <v>142</v>
      </c>
      <c r="D10" s="2">
        <v>153</v>
      </c>
      <c r="E10" s="2">
        <v>68</v>
      </c>
      <c r="F10" s="2">
        <v>198</v>
      </c>
      <c r="G10" s="2">
        <v>0</v>
      </c>
      <c r="H10" s="2">
        <v>227</v>
      </c>
      <c r="I10" s="2">
        <v>144</v>
      </c>
      <c r="J10" s="28">
        <v>114</v>
      </c>
      <c r="L10" t="s">
        <v>126</v>
      </c>
    </row>
    <row r="11" spans="1:12" x14ac:dyDescent="0.2">
      <c r="A11" s="27" t="s">
        <v>115</v>
      </c>
      <c r="B11" s="2">
        <v>6</v>
      </c>
      <c r="C11" s="2">
        <v>154</v>
      </c>
      <c r="D11" s="2">
        <v>339</v>
      </c>
      <c r="E11" s="2">
        <v>182</v>
      </c>
      <c r="F11" s="2">
        <v>29</v>
      </c>
      <c r="G11" s="2">
        <v>227</v>
      </c>
      <c r="H11" s="2">
        <v>0</v>
      </c>
      <c r="I11" s="2">
        <v>85</v>
      </c>
      <c r="J11" s="28">
        <v>279</v>
      </c>
      <c r="L11">
        <v>1000</v>
      </c>
    </row>
    <row r="12" spans="1:12" x14ac:dyDescent="0.2">
      <c r="A12" s="27" t="s">
        <v>116</v>
      </c>
      <c r="B12" s="2">
        <v>7</v>
      </c>
      <c r="C12" s="2">
        <v>111</v>
      </c>
      <c r="D12" s="2">
        <v>256</v>
      </c>
      <c r="E12" s="2">
        <v>99</v>
      </c>
      <c r="F12" s="2">
        <v>56</v>
      </c>
      <c r="G12" s="2">
        <v>144</v>
      </c>
      <c r="H12" s="2">
        <v>85</v>
      </c>
      <c r="I12" s="2">
        <v>0</v>
      </c>
      <c r="J12" s="28">
        <v>194</v>
      </c>
    </row>
    <row r="13" spans="1:12" x14ac:dyDescent="0.2">
      <c r="A13" s="29" t="s">
        <v>117</v>
      </c>
      <c r="B13" s="1">
        <v>8</v>
      </c>
      <c r="C13" s="1">
        <v>167</v>
      </c>
      <c r="D13" s="1">
        <v>192</v>
      </c>
      <c r="E13" s="1">
        <v>179</v>
      </c>
      <c r="F13" s="1">
        <v>250</v>
      </c>
      <c r="G13" s="1">
        <v>114</v>
      </c>
      <c r="H13" s="1">
        <v>279</v>
      </c>
      <c r="I13" s="1">
        <v>194</v>
      </c>
      <c r="J13" s="30">
        <v>0</v>
      </c>
    </row>
    <row r="15" spans="1:12" x14ac:dyDescent="0.2">
      <c r="G15" s="11" t="s">
        <v>136</v>
      </c>
      <c r="H15" s="12"/>
      <c r="I15" s="7" t="s">
        <v>130</v>
      </c>
      <c r="J15" s="7" t="s">
        <v>131</v>
      </c>
      <c r="K15" s="7" t="s">
        <v>132</v>
      </c>
    </row>
    <row r="16" spans="1:12" x14ac:dyDescent="0.2">
      <c r="B16" s="7" t="s">
        <v>137</v>
      </c>
      <c r="C16">
        <v>1</v>
      </c>
      <c r="D16" s="7" t="s">
        <v>123</v>
      </c>
      <c r="E16" s="7" t="s">
        <v>124</v>
      </c>
      <c r="F16" s="7" t="s">
        <v>133</v>
      </c>
      <c r="G16" s="11" t="s">
        <v>134</v>
      </c>
      <c r="H16" s="12" t="s">
        <v>135</v>
      </c>
      <c r="I16">
        <f>COUNTIF(C$17:C$25,C16)</f>
        <v>1</v>
      </c>
      <c r="J16">
        <v>1</v>
      </c>
      <c r="K16">
        <v>1</v>
      </c>
    </row>
    <row r="17" spans="1:15" x14ac:dyDescent="0.2">
      <c r="C17" s="6">
        <v>2</v>
      </c>
      <c r="D17">
        <f>HLOOKUP(C17,$B$2:$J$3,2)</f>
        <v>1</v>
      </c>
      <c r="E17">
        <f ca="1">INDIRECT(H17 &amp;G17)</f>
        <v>326</v>
      </c>
      <c r="F17">
        <f>D17*VLOOKUP(I17,J$16:K$25,2)</f>
        <v>0.75</v>
      </c>
      <c r="G17" s="12">
        <f>5+C17</f>
        <v>7</v>
      </c>
      <c r="H17" s="12" t="str">
        <f>CHAR(66+C16)</f>
        <v>C</v>
      </c>
      <c r="I17">
        <f t="shared" ref="I17:I25" si="0">COUNTIF(C$17:C$25,C17)</f>
        <v>2</v>
      </c>
      <c r="J17">
        <v>2</v>
      </c>
      <c r="K17">
        <f>1.5/2</f>
        <v>0.75</v>
      </c>
    </row>
    <row r="18" spans="1:15" x14ac:dyDescent="0.2">
      <c r="C18" s="6">
        <v>3</v>
      </c>
      <c r="D18">
        <f t="shared" ref="D18:D25" si="1">HLOOKUP(C18,$B$2:$J$3,2)</f>
        <v>4</v>
      </c>
      <c r="E18">
        <f t="shared" ref="E18:E25" ca="1" si="2">INDIRECT(H18 &amp;G18)</f>
        <v>164</v>
      </c>
      <c r="F18">
        <f t="shared" ref="F18:F25" si="3">D18*VLOOKUP(I18,J$16:K$25,2)</f>
        <v>4</v>
      </c>
      <c r="G18" s="12">
        <f t="shared" ref="G18:G25" si="4">5+C18</f>
        <v>8</v>
      </c>
      <c r="H18" s="12" t="str">
        <f t="shared" ref="H18:H25" si="5">CHAR(66+C17)</f>
        <v>D</v>
      </c>
      <c r="I18">
        <f t="shared" si="0"/>
        <v>1</v>
      </c>
      <c r="J18">
        <v>3</v>
      </c>
      <c r="K18">
        <f>1.6/3</f>
        <v>0.53333333333333333</v>
      </c>
      <c r="O18" s="31">
        <f>7^9</f>
        <v>40353607</v>
      </c>
    </row>
    <row r="19" spans="1:15" x14ac:dyDescent="0.2">
      <c r="C19" s="6">
        <v>4</v>
      </c>
      <c r="D19">
        <f t="shared" si="1"/>
        <v>2</v>
      </c>
      <c r="E19">
        <f t="shared" ca="1" si="2"/>
        <v>153</v>
      </c>
      <c r="F19">
        <f t="shared" si="3"/>
        <v>2</v>
      </c>
      <c r="G19" s="12">
        <f t="shared" si="4"/>
        <v>9</v>
      </c>
      <c r="H19" s="12" t="str">
        <f t="shared" si="5"/>
        <v>E</v>
      </c>
      <c r="I19">
        <f t="shared" si="0"/>
        <v>1</v>
      </c>
      <c r="J19">
        <v>4</v>
      </c>
      <c r="K19">
        <f>1.6/J19</f>
        <v>0.4</v>
      </c>
    </row>
    <row r="20" spans="1:15" x14ac:dyDescent="0.2">
      <c r="C20" s="6">
        <v>5</v>
      </c>
      <c r="D20">
        <f t="shared" si="1"/>
        <v>1</v>
      </c>
      <c r="E20">
        <f t="shared" ca="1" si="2"/>
        <v>198</v>
      </c>
      <c r="F20">
        <f t="shared" si="3"/>
        <v>1</v>
      </c>
      <c r="G20" s="12">
        <f t="shared" si="4"/>
        <v>10</v>
      </c>
      <c r="H20" s="12" t="str">
        <f t="shared" si="5"/>
        <v>F</v>
      </c>
      <c r="I20">
        <f t="shared" si="0"/>
        <v>1</v>
      </c>
      <c r="J20">
        <v>5</v>
      </c>
      <c r="K20">
        <f t="shared" ref="K20:K25" si="6">1.6/J20</f>
        <v>0.32</v>
      </c>
    </row>
    <row r="21" spans="1:15" x14ac:dyDescent="0.2">
      <c r="C21" s="6">
        <v>6</v>
      </c>
      <c r="D21">
        <f t="shared" si="1"/>
        <v>2</v>
      </c>
      <c r="E21">
        <f t="shared" ca="1" si="2"/>
        <v>227</v>
      </c>
      <c r="F21">
        <f t="shared" si="3"/>
        <v>2</v>
      </c>
      <c r="G21" s="12">
        <f t="shared" si="4"/>
        <v>11</v>
      </c>
      <c r="H21" s="12" t="str">
        <f t="shared" si="5"/>
        <v>G</v>
      </c>
      <c r="I21">
        <f t="shared" si="0"/>
        <v>1</v>
      </c>
      <c r="J21">
        <v>6</v>
      </c>
      <c r="K21">
        <f t="shared" si="6"/>
        <v>0.26666666666666666</v>
      </c>
    </row>
    <row r="22" spans="1:15" x14ac:dyDescent="0.2">
      <c r="C22" s="6">
        <v>7</v>
      </c>
      <c r="D22">
        <f t="shared" si="1"/>
        <v>2.5</v>
      </c>
      <c r="E22">
        <f t="shared" ca="1" si="2"/>
        <v>85</v>
      </c>
      <c r="F22">
        <f t="shared" si="3"/>
        <v>2.5</v>
      </c>
      <c r="G22" s="12">
        <f t="shared" si="4"/>
        <v>12</v>
      </c>
      <c r="H22" s="12" t="str">
        <f t="shared" si="5"/>
        <v>H</v>
      </c>
      <c r="I22">
        <f t="shared" si="0"/>
        <v>1</v>
      </c>
      <c r="J22">
        <v>7</v>
      </c>
      <c r="K22">
        <f t="shared" si="6"/>
        <v>0.22857142857142859</v>
      </c>
    </row>
    <row r="23" spans="1:15" x14ac:dyDescent="0.2">
      <c r="C23" s="6">
        <v>8</v>
      </c>
      <c r="D23">
        <f t="shared" si="1"/>
        <v>1</v>
      </c>
      <c r="E23">
        <f t="shared" ca="1" si="2"/>
        <v>194</v>
      </c>
      <c r="F23">
        <f t="shared" si="3"/>
        <v>1</v>
      </c>
      <c r="G23" s="12">
        <f t="shared" si="4"/>
        <v>13</v>
      </c>
      <c r="H23" s="12" t="str">
        <f t="shared" si="5"/>
        <v>I</v>
      </c>
      <c r="I23">
        <f t="shared" si="0"/>
        <v>1</v>
      </c>
      <c r="J23">
        <v>8</v>
      </c>
      <c r="K23">
        <f t="shared" si="6"/>
        <v>0.2</v>
      </c>
    </row>
    <row r="24" spans="1:15" x14ac:dyDescent="0.2">
      <c r="C24" s="6">
        <v>1</v>
      </c>
      <c r="D24">
        <f t="shared" si="1"/>
        <v>1</v>
      </c>
      <c r="E24">
        <f t="shared" ca="1" si="2"/>
        <v>167</v>
      </c>
      <c r="F24">
        <f t="shared" si="3"/>
        <v>1</v>
      </c>
      <c r="G24" s="12">
        <f t="shared" si="4"/>
        <v>6</v>
      </c>
      <c r="H24" s="12" t="str">
        <f t="shared" si="5"/>
        <v>J</v>
      </c>
      <c r="I24">
        <f t="shared" si="0"/>
        <v>1</v>
      </c>
      <c r="J24">
        <v>9</v>
      </c>
      <c r="K24">
        <f t="shared" si="6"/>
        <v>0.17777777777777778</v>
      </c>
    </row>
    <row r="25" spans="1:15" x14ac:dyDescent="0.2">
      <c r="C25" s="6">
        <v>2</v>
      </c>
      <c r="D25">
        <f t="shared" si="1"/>
        <v>1</v>
      </c>
      <c r="E25">
        <f t="shared" ca="1" si="2"/>
        <v>326</v>
      </c>
      <c r="F25">
        <f t="shared" si="3"/>
        <v>0.75</v>
      </c>
      <c r="G25" s="12">
        <f t="shared" si="4"/>
        <v>7</v>
      </c>
      <c r="H25" s="12" t="str">
        <f t="shared" si="5"/>
        <v>C</v>
      </c>
      <c r="I25">
        <f t="shared" si="0"/>
        <v>2</v>
      </c>
      <c r="J25">
        <v>10</v>
      </c>
      <c r="K25">
        <f t="shared" si="6"/>
        <v>0.16</v>
      </c>
    </row>
    <row r="26" spans="1:15" x14ac:dyDescent="0.2">
      <c r="C26" s="7" t="s">
        <v>127</v>
      </c>
      <c r="D26">
        <f>SUM(D17:D25)</f>
        <v>15.5</v>
      </c>
      <c r="E26">
        <f ca="1">SUM(E17:E25)</f>
        <v>1840</v>
      </c>
      <c r="F26">
        <f>SUM(F17:F25)</f>
        <v>15</v>
      </c>
    </row>
    <row r="27" spans="1:15" x14ac:dyDescent="0.2">
      <c r="E27" s="7" t="s">
        <v>128</v>
      </c>
      <c r="F27">
        <f ca="1">IF(E26&lt;=L11,0,L11-E26)</f>
        <v>-840</v>
      </c>
    </row>
    <row r="28" spans="1:15" x14ac:dyDescent="0.2">
      <c r="E28" s="7" t="s">
        <v>129</v>
      </c>
      <c r="F28" s="10">
        <f ca="1">F26+F27</f>
        <v>-825</v>
      </c>
    </row>
    <row r="29" spans="1:15" ht="409.6" customHeight="1" x14ac:dyDescent="0.2">
      <c r="A29" s="13" t="s">
        <v>139</v>
      </c>
      <c r="B29" s="33" t="s">
        <v>138</v>
      </c>
      <c r="C29" s="33"/>
      <c r="D29" s="33"/>
      <c r="E29" s="33"/>
      <c r="F29" s="33"/>
      <c r="G29" s="33"/>
      <c r="H29" s="33"/>
      <c r="I29" s="33"/>
      <c r="J29" s="33"/>
      <c r="K29" s="33"/>
    </row>
  </sheetData>
  <mergeCells count="1">
    <mergeCell ref="B29:K29"/>
  </mergeCell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4:U38"/>
  <sheetViews>
    <sheetView topLeftCell="A4" workbookViewId="0">
      <selection activeCell="D24" sqref="D24"/>
    </sheetView>
  </sheetViews>
  <sheetFormatPr defaultRowHeight="14.25" x14ac:dyDescent="0.2"/>
  <cols>
    <col min="1" max="1" width="2" bestFit="1" customWidth="1"/>
    <col min="2" max="2" width="14.875" style="18" customWidth="1"/>
    <col min="4" max="4" width="4.375" bestFit="1" customWidth="1"/>
    <col min="5" max="5" width="4.625" bestFit="1" customWidth="1"/>
    <col min="6" max="6" width="4.375" bestFit="1" customWidth="1"/>
    <col min="7" max="7" width="20.375" customWidth="1"/>
  </cols>
  <sheetData>
    <row r="4" spans="1:21" x14ac:dyDescent="0.2">
      <c r="B4" s="18" t="s">
        <v>140</v>
      </c>
      <c r="C4" t="s">
        <v>141</v>
      </c>
      <c r="D4" t="s">
        <v>153</v>
      </c>
      <c r="E4" t="s">
        <v>154</v>
      </c>
      <c r="F4" t="s">
        <v>155</v>
      </c>
      <c r="G4" t="s">
        <v>149</v>
      </c>
    </row>
    <row r="5" spans="1:21" ht="15" x14ac:dyDescent="0.25">
      <c r="A5" s="5" t="s">
        <v>160</v>
      </c>
      <c r="B5" s="19">
        <v>5</v>
      </c>
      <c r="C5" s="12" t="b">
        <f>IF(F5="Y",IF(AND(varA&gt;=D5,varA&lt;=E5,varA=INT(varA)),TRUE,FALSE),IF(AND(varA&gt;=D5,varA&lt;=E5),TRUE,FALSE))</f>
        <v>1</v>
      </c>
      <c r="D5" s="12">
        <v>1</v>
      </c>
      <c r="E5" s="12">
        <v>10</v>
      </c>
      <c r="F5" s="12" t="s">
        <v>107</v>
      </c>
      <c r="G5" s="14" t="str">
        <f>ShowFormula(4)</f>
        <v>=IF(F5="Y",IF(AND(varA&gt;=D5,varA&lt;=E5,varA=INT(varA)),TRUE,FALSE),IF(AND(varA&gt;=D5,varA&lt;=E5),TRUE,FALSE))</v>
      </c>
    </row>
    <row r="6" spans="1:21" ht="15" x14ac:dyDescent="0.25">
      <c r="A6" s="5" t="s">
        <v>142</v>
      </c>
      <c r="B6" s="19">
        <v>7.5</v>
      </c>
      <c r="C6" s="12" t="b">
        <f>IF(F6="Y",IF(AND(varB&gt;=D6,varB&lt;=E6,varB=INT(varB)),TRUE,FALSE),IF(AND(varB&gt;=D6,varB&lt;=E6),TRUE,FALSE))</f>
        <v>1</v>
      </c>
      <c r="D6" s="12">
        <v>0</v>
      </c>
      <c r="E6" s="12">
        <v>15</v>
      </c>
      <c r="F6" s="12" t="s">
        <v>156</v>
      </c>
      <c r="G6" s="14" t="str">
        <f t="shared" ref="G6:G12" si="0">ShowFormula(4)</f>
        <v>=IF(F6="Y",IF(AND(varB&gt;=D6,varB&lt;=E6,varB=INT(varB)),TRUE,FALSE),IF(AND(varB&gt;=D6,varB&lt;=E6),TRUE,FALSE))</v>
      </c>
    </row>
    <row r="7" spans="1:21" ht="15" x14ac:dyDescent="0.25">
      <c r="A7" s="5" t="s">
        <v>143</v>
      </c>
      <c r="B7" s="19">
        <v>2</v>
      </c>
      <c r="C7" s="12" t="b">
        <f>IF(F7="Y",IF(AND(varC&gt;=D7,varC&lt;=E7,varC=INT(varC)),TRUE,FALSE),IF(AND(varC&gt;=D7,varC&lt;=E7),TRUE,FALSE))</f>
        <v>1</v>
      </c>
      <c r="D7" s="12">
        <v>1</v>
      </c>
      <c r="E7" s="12">
        <v>3</v>
      </c>
      <c r="F7" s="12" t="s">
        <v>156</v>
      </c>
      <c r="G7" s="14" t="str">
        <f t="shared" si="0"/>
        <v>=IF(F7="Y",IF(AND(varC&gt;=D7,varC&lt;=E7,varC=INT(varC)),TRUE,FALSE),IF(AND(varC&gt;=D7,varC&lt;=E7),TRUE,FALSE))</v>
      </c>
    </row>
    <row r="8" spans="1:21" ht="15" x14ac:dyDescent="0.25">
      <c r="A8" s="5" t="s">
        <v>144</v>
      </c>
      <c r="B8" s="19">
        <v>3</v>
      </c>
      <c r="C8" s="12" t="b">
        <f>IF(F8="Y",IF(AND(varD&gt;=D8,varD&lt;=E8,varD=INT(varD)),TRUE,FALSE),IF(AND(varD&gt;=D8,varD&lt;=E8),TRUE,FALSE))</f>
        <v>1</v>
      </c>
      <c r="D8" s="12">
        <v>0.5</v>
      </c>
      <c r="E8" s="12">
        <v>7</v>
      </c>
      <c r="F8" s="12" t="s">
        <v>156</v>
      </c>
      <c r="G8" s="14" t="str">
        <f t="shared" si="0"/>
        <v>=IF(F8="Y",IF(AND(varD&gt;=D8,varD&lt;=E8,varD=INT(varD)),TRUE,FALSE),IF(AND(varD&gt;=D8,varD&lt;=E8),TRUE,FALSE))</v>
      </c>
    </row>
    <row r="9" spans="1:21" ht="15" x14ac:dyDescent="0.25">
      <c r="A9" s="5" t="s">
        <v>145</v>
      </c>
      <c r="B9" s="19">
        <v>20</v>
      </c>
      <c r="C9" s="12" t="b">
        <f>IF(F9="Y",IF(AND(varE&gt;=D9,varE&lt;=E9,varE=INT(varE)),TRUE,FALSE),IF(AND(varE&gt;=D9,varE&lt;=E9),TRUE,FALSE))</f>
        <v>1</v>
      </c>
      <c r="D9" s="12">
        <v>-10</v>
      </c>
      <c r="E9" s="12">
        <v>50</v>
      </c>
      <c r="F9" s="12" t="s">
        <v>156</v>
      </c>
      <c r="G9" s="14" t="str">
        <f t="shared" si="0"/>
        <v>=IF(F9="Y",IF(AND(varE&gt;=D9,varE&lt;=E9,varE=INT(varE)),TRUE,FALSE),IF(AND(varE&gt;=D9,varE&lt;=E9),TRUE,FALSE))</v>
      </c>
    </row>
    <row r="10" spans="1:21" ht="15" x14ac:dyDescent="0.25">
      <c r="A10" s="5" t="s">
        <v>146</v>
      </c>
      <c r="B10" s="19">
        <v>30</v>
      </c>
      <c r="C10" s="12" t="b">
        <f>IF(F10="Y",IF(AND(varF&gt;=D10,varF&lt;=E10,varF=INT(varF),MOD(varF,2)=0),TRUE,FALSE),IF(AND(varF&gt;=D10,varF&lt;=E10),TRUE,FALSE))</f>
        <v>1</v>
      </c>
      <c r="D10" s="12">
        <v>-20</v>
      </c>
      <c r="E10" s="12">
        <v>40</v>
      </c>
      <c r="F10" s="12" t="s">
        <v>107</v>
      </c>
      <c r="G10" s="20" t="str">
        <f t="shared" si="0"/>
        <v>=IF(F10="Y",IF(AND(varF&gt;=D10,varF&lt;=E10,varF=INT(varF),MOD(varF,2)=0),TRUE,FALSE),IF(AND(varF&gt;=D10,varF&lt;=E10),TRUE,FALSE))</v>
      </c>
      <c r="U10" s="21"/>
    </row>
    <row r="11" spans="1:21" ht="15" x14ac:dyDescent="0.25">
      <c r="A11" s="5" t="s">
        <v>147</v>
      </c>
      <c r="B11" s="19">
        <v>9</v>
      </c>
      <c r="C11" s="12" t="b">
        <f>IF(F11="Y",IF(AND(varG&gt;=D11,varG&lt;=E11,varG=INT(varG)),TRUE,FALSE),IF(AND(varG&gt;=D11,varG&lt;=E11),TRUE,FALSE))</f>
        <v>1</v>
      </c>
      <c r="D11" s="12">
        <v>0</v>
      </c>
      <c r="E11" s="12">
        <v>18</v>
      </c>
      <c r="F11" s="12" t="s">
        <v>156</v>
      </c>
      <c r="G11" s="14" t="str">
        <f t="shared" si="0"/>
        <v>=IF(F11="Y",IF(AND(varG&gt;=D11,varG&lt;=E11,varG=INT(varG)),TRUE,FALSE),IF(AND(varG&gt;=D11,varG&lt;=E11),TRUE,FALSE))</v>
      </c>
    </row>
    <row r="12" spans="1:21" ht="15" x14ac:dyDescent="0.25">
      <c r="A12" s="5" t="s">
        <v>148</v>
      </c>
      <c r="B12" s="19">
        <v>8</v>
      </c>
      <c r="C12" s="12" t="b">
        <f>IF(F12="Y",IF(AND(varH&gt;=D12,varH&lt;=E12,varH=INT(varH)),TRUE,FALSE),IF(AND(varH&gt;=D12,varH&lt;=E12),TRUE,FALSE))</f>
        <v>1</v>
      </c>
      <c r="D12" s="12">
        <v>3</v>
      </c>
      <c r="E12" s="12">
        <v>12</v>
      </c>
      <c r="F12" s="12" t="s">
        <v>156</v>
      </c>
      <c r="G12" s="14" t="str">
        <f t="shared" si="0"/>
        <v>=IF(F12="Y",IF(AND(varH&gt;=D12,varH&lt;=E12,varH=INT(varH)),TRUE,FALSE),IF(AND(varH&gt;=D12,varH&lt;=E12),TRUE,FALSE))</v>
      </c>
    </row>
    <row r="15" spans="1:21" x14ac:dyDescent="0.2">
      <c r="B15" s="18" t="s">
        <v>161</v>
      </c>
      <c r="G15" s="14"/>
      <c r="H15" s="14"/>
    </row>
    <row r="16" spans="1:21" x14ac:dyDescent="0.2">
      <c r="G16" s="16">
        <f>varA*varE*varG+varH+varD^varA</f>
        <v>1151</v>
      </c>
      <c r="H16" s="14" t="str">
        <f>ShowFormula(1)</f>
        <v>=varA*varE*varG+varH+varD^varA</v>
      </c>
    </row>
    <row r="17" spans="1:10" x14ac:dyDescent="0.2">
      <c r="G17" s="16">
        <f>FACT(ABS(varH))-FACT(ABS(varD))</f>
        <v>40314</v>
      </c>
      <c r="H17" s="14" t="str">
        <f t="shared" ref="H17:H18" si="1">ShowFormula(1)</f>
        <v>=FACT(ABS(varH))-FACT(ABS(varD))</v>
      </c>
    </row>
    <row r="18" spans="1:10" x14ac:dyDescent="0.2">
      <c r="G18" s="16">
        <f>((SIN(varA))+varB)*LOG(varB+varC)+COS(MIN(varC,varD))*(varE-varF+varG*varH)</f>
        <v>-19.405739725279108</v>
      </c>
      <c r="H18" s="14" t="str">
        <f t="shared" si="1"/>
        <v>=((SIN(varA))+varB)*LOG(varB+varC)+COS(MIN(varC,varD))*(varE-varF+varG*varH)</v>
      </c>
    </row>
    <row r="19" spans="1:10" x14ac:dyDescent="0.2">
      <c r="G19" s="17">
        <f>STDEV(G16:G18)</f>
        <v>22956.095912127879</v>
      </c>
      <c r="H19" s="14" t="s">
        <v>163</v>
      </c>
    </row>
    <row r="22" spans="1:10" x14ac:dyDescent="0.2">
      <c r="J22" t="s">
        <v>164</v>
      </c>
    </row>
    <row r="23" spans="1:10" x14ac:dyDescent="0.2">
      <c r="J23" t="s">
        <v>165</v>
      </c>
    </row>
    <row r="24" spans="1:10" x14ac:dyDescent="0.2">
      <c r="J24" t="s">
        <v>166</v>
      </c>
    </row>
    <row r="26" spans="1:10" x14ac:dyDescent="0.2">
      <c r="J26" t="s">
        <v>167</v>
      </c>
    </row>
    <row r="27" spans="1:10" x14ac:dyDescent="0.2">
      <c r="A27" s="18" t="s">
        <v>173</v>
      </c>
      <c r="J27" t="s">
        <v>168</v>
      </c>
    </row>
    <row r="28" spans="1:10" x14ac:dyDescent="0.2">
      <c r="A28" s="22" t="s">
        <v>160</v>
      </c>
      <c r="B28" s="23">
        <v>5</v>
      </c>
      <c r="J28" t="s">
        <v>169</v>
      </c>
    </row>
    <row r="29" spans="1:10" x14ac:dyDescent="0.2">
      <c r="A29" s="22" t="s">
        <v>142</v>
      </c>
      <c r="B29" s="23">
        <v>7.5</v>
      </c>
      <c r="J29" t="s">
        <v>170</v>
      </c>
    </row>
    <row r="30" spans="1:10" x14ac:dyDescent="0.2">
      <c r="A30" s="22" t="s">
        <v>143</v>
      </c>
      <c r="B30" s="23">
        <v>2</v>
      </c>
      <c r="J30" t="s">
        <v>171</v>
      </c>
    </row>
    <row r="31" spans="1:10" x14ac:dyDescent="0.2">
      <c r="A31" s="22" t="s">
        <v>144</v>
      </c>
      <c r="B31" s="23">
        <v>3</v>
      </c>
    </row>
    <row r="32" spans="1:10" x14ac:dyDescent="0.2">
      <c r="A32" s="22" t="s">
        <v>145</v>
      </c>
      <c r="B32" s="23">
        <v>20</v>
      </c>
      <c r="J32" t="s">
        <v>172</v>
      </c>
    </row>
    <row r="33" spans="1:13" x14ac:dyDescent="0.2">
      <c r="A33" s="22" t="s">
        <v>146</v>
      </c>
      <c r="B33" s="23">
        <v>30</v>
      </c>
      <c r="J33" t="s">
        <v>174</v>
      </c>
    </row>
    <row r="34" spans="1:13" x14ac:dyDescent="0.2">
      <c r="A34" s="22" t="s">
        <v>147</v>
      </c>
      <c r="B34" s="23">
        <v>9</v>
      </c>
      <c r="J34" t="s">
        <v>175</v>
      </c>
    </row>
    <row r="35" spans="1:13" x14ac:dyDescent="0.2">
      <c r="A35" s="22" t="s">
        <v>148</v>
      </c>
      <c r="B35" s="23">
        <v>8</v>
      </c>
      <c r="J35" t="s">
        <v>176</v>
      </c>
    </row>
    <row r="36" spans="1:13" x14ac:dyDescent="0.2">
      <c r="J36" t="s">
        <v>177</v>
      </c>
    </row>
    <row r="37" spans="1:13" x14ac:dyDescent="0.2">
      <c r="J37" t="s">
        <v>66</v>
      </c>
    </row>
    <row r="38" spans="1:13" x14ac:dyDescent="0.2">
      <c r="M38" s="14" t="s">
        <v>178</v>
      </c>
    </row>
  </sheetData>
  <pageMargins left="0.7" right="0.7" top="0.75" bottom="0.75" header="0.3" footer="0.3"/>
  <pageSetup orientation="landscape"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28</vt:i4>
      </vt:variant>
    </vt:vector>
  </HeadingPairs>
  <TitlesOfParts>
    <vt:vector size="34" baseType="lpstr">
      <vt:lpstr>DNA</vt:lpstr>
      <vt:lpstr>Region_Staffing</vt:lpstr>
      <vt:lpstr>Instructions</vt:lpstr>
      <vt:lpstr>Default_Parameters</vt:lpstr>
      <vt:lpstr>SalesTrip</vt:lpstr>
      <vt:lpstr>EquationSolver</vt:lpstr>
      <vt:lpstr>conditionsSet</vt:lpstr>
      <vt:lpstr>elites</vt:lpstr>
      <vt:lpstr>EquationSolverConditionsSet</vt:lpstr>
      <vt:lpstr>EquationSolverInputSet</vt:lpstr>
      <vt:lpstr>EquationSolverScore</vt:lpstr>
      <vt:lpstr>generations</vt:lpstr>
      <vt:lpstr>highVal</vt:lpstr>
      <vt:lpstr>inputSet</vt:lpstr>
      <vt:lpstr>integers</vt:lpstr>
      <vt:lpstr>lowVal</vt:lpstr>
      <vt:lpstr>maximize</vt:lpstr>
      <vt:lpstr>mutations</vt:lpstr>
      <vt:lpstr>parents</vt:lpstr>
      <vt:lpstr>random</vt:lpstr>
      <vt:lpstr>SalesTripInputSet</vt:lpstr>
      <vt:lpstr>SalesTripScore</vt:lpstr>
      <vt:lpstr>scoreCell</vt:lpstr>
      <vt:lpstr>sets</vt:lpstr>
      <vt:lpstr>StaffingInputSet</vt:lpstr>
      <vt:lpstr>StaffingScore</vt:lpstr>
      <vt:lpstr>varA</vt:lpstr>
      <vt:lpstr>varB</vt:lpstr>
      <vt:lpstr>varC</vt:lpstr>
      <vt:lpstr>varD</vt:lpstr>
      <vt:lpstr>varE</vt:lpstr>
      <vt:lpstr>varF</vt:lpstr>
      <vt:lpstr>varG</vt:lpstr>
      <vt:lpstr>varH</vt:lpstr>
    </vt:vector>
  </TitlesOfParts>
  <Company>The ODS Companies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Brian C. Grossmiller</dc:creator>
  <cp:lastModifiedBy>Snell, Dave</cp:lastModifiedBy>
  <cp:lastPrinted>2013-10-18T23:32:25Z</cp:lastPrinted>
  <dcterms:created xsi:type="dcterms:W3CDTF">2013-08-28T18:12:06Z</dcterms:created>
  <dcterms:modified xsi:type="dcterms:W3CDTF">2014-09-17T20:03:00Z</dcterms:modified>
</cp:coreProperties>
</file>